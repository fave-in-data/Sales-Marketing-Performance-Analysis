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DATA_ANALYSIS\EXCEL\"/>
    </mc:Choice>
  </mc:AlternateContent>
  <xr:revisionPtr revIDLastSave="0" documentId="13_ncr:1_{BF60B383-8D3F-4101-A58A-22744A14F3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iginal sales data" sheetId="1" r:id="rId1"/>
    <sheet name="Cleaned Data" sheetId="2" r:id="rId2"/>
    <sheet name="Analysis" sheetId="3" r:id="rId3"/>
    <sheet name="Dashboard" sheetId="5" r:id="rId4"/>
  </sheets>
  <definedNames>
    <definedName name="_xlnm._FilterDatabase" localSheetId="2" hidden="1">Analysis!$A$1:$B$452</definedName>
    <definedName name="_xlnm._FilterDatabase" localSheetId="0" hidden="1">'Original sales data'!$A$1:$L$471</definedName>
    <definedName name="ExternalData_1" localSheetId="1" hidden="1">'Cleaned Data'!$A$1:$M$451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3" i="3" l="1"/>
  <c r="B33" i="3"/>
  <c r="C33" i="3"/>
  <c r="D33" i="3"/>
  <c r="E33" i="3"/>
  <c r="F33" i="3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3" l="1"/>
  <c r="B448" i="3"/>
  <c r="B451" i="3"/>
  <c r="B450" i="3"/>
  <c r="B449" i="3"/>
</calcChain>
</file>

<file path=xl/sharedStrings.xml><?xml version="1.0" encoding="utf-8"?>
<sst xmlns="http://schemas.openxmlformats.org/spreadsheetml/2006/main" count="6533" uniqueCount="1020">
  <si>
    <t>OrderID</t>
  </si>
  <si>
    <t>OrderDate</t>
  </si>
  <si>
    <t>Region</t>
  </si>
  <si>
    <t>MarketingChannel</t>
  </si>
  <si>
    <t>SalesRep</t>
  </si>
  <si>
    <t>Product</t>
  </si>
  <si>
    <t>UnitPrice</t>
  </si>
  <si>
    <t>Quantity</t>
  </si>
  <si>
    <t>DiscountPct</t>
  </si>
  <si>
    <t>Revenue</t>
  </si>
  <si>
    <t>AdSpendAttributed</t>
  </si>
  <si>
    <t>CustomerType</t>
  </si>
  <si>
    <t>ORD-20183</t>
  </si>
  <si>
    <t>Lagos</t>
  </si>
  <si>
    <t>Walk-In</t>
  </si>
  <si>
    <t>Bayo A.</t>
  </si>
  <si>
    <t>Add-On: Storage</t>
  </si>
  <si>
    <t>New</t>
  </si>
  <si>
    <t>ORD-20436</t>
  </si>
  <si>
    <t>Abuja</t>
  </si>
  <si>
    <t>Facebook</t>
  </si>
  <si>
    <t>Nkechi U.</t>
  </si>
  <si>
    <t>Pro Plan</t>
  </si>
  <si>
    <t>ORD-20198</t>
  </si>
  <si>
    <t>Ibadan</t>
  </si>
  <si>
    <t>Tiktok</t>
  </si>
  <si>
    <t>Chidinma O.</t>
  </si>
  <si>
    <t>ORD-20282</t>
  </si>
  <si>
    <t>Email</t>
  </si>
  <si>
    <t>Add-On: Support</t>
  </si>
  <si>
    <t>ORD-20425</t>
  </si>
  <si>
    <t>Port Harcourt</t>
  </si>
  <si>
    <t>Google Ads</t>
  </si>
  <si>
    <t>Returning</t>
  </si>
  <si>
    <t>ORD-20345</t>
  </si>
  <si>
    <t>Instagram</t>
  </si>
  <si>
    <t>Tunde K.</t>
  </si>
  <si>
    <t>ORD-20237</t>
  </si>
  <si>
    <t>Referral</t>
  </si>
  <si>
    <t>Emeka N.</t>
  </si>
  <si>
    <t>ORD-20245</t>
  </si>
  <si>
    <t>Starter Plan</t>
  </si>
  <si>
    <t>ORD-20283</t>
  </si>
  <si>
    <t>Premium Plan</t>
  </si>
  <si>
    <t>ORD-20124</t>
  </si>
  <si>
    <t>ORD-20057</t>
  </si>
  <si>
    <t>ORD-20051</t>
  </si>
  <si>
    <t>N/A - Self-Serve.</t>
  </si>
  <si>
    <t>ORD-20285</t>
  </si>
  <si>
    <t>Fatima S.</t>
  </si>
  <si>
    <t>ORD-20415</t>
  </si>
  <si>
    <t>ORD-20100</t>
  </si>
  <si>
    <t>ORD-20274</t>
  </si>
  <si>
    <t>ORD-20169</t>
  </si>
  <si>
    <t>ORD-20406</t>
  </si>
  <si>
    <t>ORD-20414</t>
  </si>
  <si>
    <t>ORD-20118</t>
  </si>
  <si>
    <t>ORD-20214</t>
  </si>
  <si>
    <t>ORD-20437</t>
  </si>
  <si>
    <t>ORD-20044</t>
  </si>
  <si>
    <t>ORD-20242</t>
  </si>
  <si>
    <t>ORD-20423</t>
  </si>
  <si>
    <t>ORD-20321</t>
  </si>
  <si>
    <t>Unknown</t>
  </si>
  <si>
    <t>ORD-20379</t>
  </si>
  <si>
    <t>Kano</t>
  </si>
  <si>
    <t>Unknown-Organic</t>
  </si>
  <si>
    <t>ORD-20154</t>
  </si>
  <si>
    <t>ORD-20319</t>
  </si>
  <si>
    <t>ORD-20151</t>
  </si>
  <si>
    <t>ORD-20074</t>
  </si>
  <si>
    <t>ORD-20041</t>
  </si>
  <si>
    <t>ORD-20072</t>
  </si>
  <si>
    <t>ORD-20187</t>
  </si>
  <si>
    <t>ORD-20442</t>
  </si>
  <si>
    <t>ORD-20140</t>
  </si>
  <si>
    <t>ORD-20305</t>
  </si>
  <si>
    <t>ORD-20146</t>
  </si>
  <si>
    <t>Unknown-Paid</t>
  </si>
  <si>
    <t>ORD-20303</t>
  </si>
  <si>
    <t>ORD-20238</t>
  </si>
  <si>
    <t xml:space="preserve"> Ibadan</t>
  </si>
  <si>
    <t>ORD-20292</t>
  </si>
  <si>
    <t>ORD-20139</t>
  </si>
  <si>
    <t>ORD-20382</t>
  </si>
  <si>
    <t>ORD-20133</t>
  </si>
  <si>
    <t>ORD-20446</t>
  </si>
  <si>
    <t>ORD-20156</t>
  </si>
  <si>
    <t>ORD-20199</t>
  </si>
  <si>
    <t>ORD-20035</t>
  </si>
  <si>
    <t>ORD-20099</t>
  </si>
  <si>
    <t>ORD-20371</t>
  </si>
  <si>
    <t>ORD-20278</t>
  </si>
  <si>
    <t>ORD-20435</t>
  </si>
  <si>
    <t>ORD-20330</t>
  </si>
  <si>
    <t>ORD-20440</t>
  </si>
  <si>
    <t>ORD-20405</t>
  </si>
  <si>
    <t>ORD-20202</t>
  </si>
  <si>
    <t>ORD-20022</t>
  </si>
  <si>
    <t>ORD-20231</t>
  </si>
  <si>
    <t>ORD-20428</t>
  </si>
  <si>
    <t>Rep Not Recorded</t>
  </si>
  <si>
    <t>ORD-20398</t>
  </si>
  <si>
    <t>ORD-20358</t>
  </si>
  <si>
    <t>ORD-20067</t>
  </si>
  <si>
    <t>ORD-20224</t>
  </si>
  <si>
    <t>ORD-20053</t>
  </si>
  <si>
    <t>ORD-20091</t>
  </si>
  <si>
    <t>ORD-20433</t>
  </si>
  <si>
    <t>ORD-20153</t>
  </si>
  <si>
    <t>ORD-20076</t>
  </si>
  <si>
    <t>ORD-20123</t>
  </si>
  <si>
    <t>ORD-20284</t>
  </si>
  <si>
    <t>ORD-20300</t>
  </si>
  <si>
    <t>ORD-20289</t>
  </si>
  <si>
    <t>ORD-20337</t>
  </si>
  <si>
    <t>ORD-20196</t>
  </si>
  <si>
    <t>ORD-20314</t>
  </si>
  <si>
    <t>ORD-20177</t>
  </si>
  <si>
    <t>ORD-20171</t>
  </si>
  <si>
    <t>ORD-20048</t>
  </si>
  <si>
    <t>ORD-20010</t>
  </si>
  <si>
    <t>ORD-20332</t>
  </si>
  <si>
    <t>ORD-20336</t>
  </si>
  <si>
    <t>ORD-20117</t>
  </si>
  <si>
    <t>ORD-20186</t>
  </si>
  <si>
    <t>ORD-20054</t>
  </si>
  <si>
    <t>ORD-20369</t>
  </si>
  <si>
    <t>ORD-20108</t>
  </si>
  <si>
    <t>ORD-20411</t>
  </si>
  <si>
    <t>ORD-20299</t>
  </si>
  <si>
    <t>ORD-20185</t>
  </si>
  <si>
    <t>ORD-20308</t>
  </si>
  <si>
    <t>ORD-20050</t>
  </si>
  <si>
    <t>ORD-20312</t>
  </si>
  <si>
    <t>ORD-20150</t>
  </si>
  <si>
    <t>ORD-20213</t>
  </si>
  <si>
    <t>ORD-20192</t>
  </si>
  <si>
    <t>ORD-20248</t>
  </si>
  <si>
    <t>ORD-20243</t>
  </si>
  <si>
    <t>ORD-20063</t>
  </si>
  <si>
    <t>ORD-20162</t>
  </si>
  <si>
    <t>ORD-20270</t>
  </si>
  <si>
    <t>ORD-20334</t>
  </si>
  <si>
    <t>ORD-20424</t>
  </si>
  <si>
    <t>ORD-20163</t>
  </si>
  <si>
    <t>ORD-20128</t>
  </si>
  <si>
    <t>ORD-20306</t>
  </si>
  <si>
    <t>ORD-20019</t>
  </si>
  <si>
    <t>ORD-20329</t>
  </si>
  <si>
    <t>ORD-20279</t>
  </si>
  <si>
    <t>ORD-20157</t>
  </si>
  <si>
    <t>ORD-20142</t>
  </si>
  <si>
    <t>ORD-20158</t>
  </si>
  <si>
    <t>ORD-20352</t>
  </si>
  <si>
    <t>ORD-20001</t>
  </si>
  <si>
    <t>ORD-20061</t>
  </si>
  <si>
    <t>ORD-20287</t>
  </si>
  <si>
    <t>ORD-20109</t>
  </si>
  <si>
    <t>ORD-20141</t>
  </si>
  <si>
    <t>ORD-20373</t>
  </si>
  <si>
    <t>ORD-20280</t>
  </si>
  <si>
    <t>ORD-20102</t>
  </si>
  <si>
    <t>ORD-20034</t>
  </si>
  <si>
    <t>ORD-20376</t>
  </si>
  <si>
    <t>ORD-20353</t>
  </si>
  <si>
    <t>ORD-20220</t>
  </si>
  <si>
    <t>ORD-20410</t>
  </si>
  <si>
    <t>ORD-20152</t>
  </si>
  <si>
    <t>ORD-20349</t>
  </si>
  <si>
    <t>ORD-20175</t>
  </si>
  <si>
    <t>ORD-20056</t>
  </si>
  <si>
    <t>ORD-20350</t>
  </si>
  <si>
    <t>ORD-20372</t>
  </si>
  <si>
    <t>ORD-20385</t>
  </si>
  <si>
    <t>ORD-20235</t>
  </si>
  <si>
    <t>ORD-20291</t>
  </si>
  <si>
    <t>ORD-20049</t>
  </si>
  <si>
    <t>ORD-20264</t>
  </si>
  <si>
    <t>ORD-20043</t>
  </si>
  <si>
    <t>ORD-20116</t>
  </si>
  <si>
    <t>ORD-20027</t>
  </si>
  <si>
    <t>ORD-20359</t>
  </si>
  <si>
    <t>ORD-20089</t>
  </si>
  <si>
    <t>ORD-20402</t>
  </si>
  <si>
    <t>ORD-20448</t>
  </si>
  <si>
    <t>ORD-20431</t>
  </si>
  <si>
    <t>ORD-20130</t>
  </si>
  <si>
    <t>ORD-20013</t>
  </si>
  <si>
    <t>ORD-20391</t>
  </si>
  <si>
    <t>ORD-20080</t>
  </si>
  <si>
    <t>ORD-20077</t>
  </si>
  <si>
    <t>ORD-20307</t>
  </si>
  <si>
    <t>ORD-20090</t>
  </si>
  <si>
    <t>ORD-20341</t>
  </si>
  <si>
    <t>ORD-20276</t>
  </si>
  <si>
    <t>ORD-20239</t>
  </si>
  <si>
    <t>ORD-20025</t>
  </si>
  <si>
    <t>ORD-20227</t>
  </si>
  <si>
    <t>ORD-20294</t>
  </si>
  <si>
    <t>ORD-20384</t>
  </si>
  <si>
    <t>ORD-20426</t>
  </si>
  <si>
    <t>ORD-20007</t>
  </si>
  <si>
    <t>ORD-20011</t>
  </si>
  <si>
    <t>ORD-20387</t>
  </si>
  <si>
    <t>ORD-20310</t>
  </si>
  <si>
    <t>ORD-20082</t>
  </si>
  <si>
    <t>ORD-20323</t>
  </si>
  <si>
    <t>ORD-20260</t>
  </si>
  <si>
    <t>ORD-20223</t>
  </si>
  <si>
    <t>ORD-20286</t>
  </si>
  <si>
    <t>ORD-20252</t>
  </si>
  <si>
    <t>ORD-20328</t>
  </si>
  <si>
    <t>ORD-20249</t>
  </si>
  <si>
    <t>ORD-20210</t>
  </si>
  <si>
    <t>ORD-20374</t>
  </si>
  <si>
    <t>ORD-20262</t>
  </si>
  <si>
    <t>ORD-20084</t>
  </si>
  <si>
    <t>ORD-20093</t>
  </si>
  <si>
    <t>ORD-20046</t>
  </si>
  <si>
    <t>ORD-20298</t>
  </si>
  <si>
    <t>ORD-20047</t>
  </si>
  <si>
    <t>ORD-20281</t>
  </si>
  <si>
    <t>ORD-20377</t>
  </si>
  <si>
    <t>ORD-20016</t>
  </si>
  <si>
    <t>ORD-20313</t>
  </si>
  <si>
    <t>ORD-20380</t>
  </si>
  <si>
    <t>ORD-20059</t>
  </si>
  <si>
    <t>ORD-20191</t>
  </si>
  <si>
    <t>ORD-20331</t>
  </si>
  <si>
    <t>ORD-20060</t>
  </si>
  <si>
    <t>ORD-20418</t>
  </si>
  <si>
    <t>ORD-20040</t>
  </si>
  <si>
    <t>ORD-20360</t>
  </si>
  <si>
    <t>ORD-20407</t>
  </si>
  <si>
    <t>ORD-20026</t>
  </si>
  <si>
    <t>ORD-20409</t>
  </si>
  <si>
    <t>ORD-20366</t>
  </si>
  <si>
    <t>ORD-20085</t>
  </si>
  <si>
    <t>ORD-20062</t>
  </si>
  <si>
    <t>ORD-20052</t>
  </si>
  <si>
    <t>ORD-20322</t>
  </si>
  <si>
    <t>ORD-20302</t>
  </si>
  <si>
    <t>ORD-20263</t>
  </si>
  <si>
    <t>ORD-20012</t>
  </si>
  <si>
    <t>ORD-20018</t>
  </si>
  <si>
    <t>ORD-20068</t>
  </si>
  <si>
    <t>ORD-20416</t>
  </si>
  <si>
    <t>ORD-20097</t>
  </si>
  <si>
    <t>ORD-20069</t>
  </si>
  <si>
    <t>ORD-20318</t>
  </si>
  <si>
    <t>ORD-20107</t>
  </si>
  <si>
    <t>ORD-20005</t>
  </si>
  <si>
    <t>ORD-20394</t>
  </si>
  <si>
    <t>ORD-20103</t>
  </si>
  <si>
    <t>ORD-20228</t>
  </si>
  <si>
    <t>ORD-20219</t>
  </si>
  <si>
    <t>ORD-20293</t>
  </si>
  <si>
    <t>ORD-20225</t>
  </si>
  <si>
    <t>ORD-20288</t>
  </si>
  <si>
    <t>ORD-20251</t>
  </si>
  <si>
    <t>ORD-20413</t>
  </si>
  <si>
    <t>ORD-20135</t>
  </si>
  <si>
    <t>ORD-20094</t>
  </si>
  <si>
    <t>ORD-20160</t>
  </si>
  <si>
    <t>ORD-20393</t>
  </si>
  <si>
    <t>ORD-20002</t>
  </si>
  <si>
    <t>ORD-20038</t>
  </si>
  <si>
    <t>ORD-20120</t>
  </si>
  <si>
    <t>ORD-20125</t>
  </si>
  <si>
    <t>ORD-20164</t>
  </si>
  <si>
    <t>ORD-20421</t>
  </si>
  <si>
    <t>ORD-20200</t>
  </si>
  <si>
    <t>ORD-20112</t>
  </si>
  <si>
    <t>ORD-20346</t>
  </si>
  <si>
    <t>ORD-20167</t>
  </si>
  <si>
    <t>ORD-20222</t>
  </si>
  <si>
    <t>ORD-20297</t>
  </si>
  <si>
    <t>ORD-20003</t>
  </si>
  <si>
    <t>ORD-20096</t>
  </si>
  <si>
    <t>ORD-20132</t>
  </si>
  <si>
    <t>ORD-20024</t>
  </si>
  <si>
    <t>ORD-20004</t>
  </si>
  <si>
    <t>ORD-20404</t>
  </si>
  <si>
    <t>ORD-20254</t>
  </si>
  <si>
    <t>ORD-20241</t>
  </si>
  <si>
    <t>ORD-20311</t>
  </si>
  <si>
    <t>ORD-20029</t>
  </si>
  <si>
    <t>ORD-20212</t>
  </si>
  <si>
    <t>ORD-20320</t>
  </si>
  <si>
    <t>ORD-20134</t>
  </si>
  <si>
    <t>ORD-20390</t>
  </si>
  <si>
    <t>ORD-20143</t>
  </si>
  <si>
    <t>ORD-20296</t>
  </si>
  <si>
    <t>ORD-20273</t>
  </si>
  <si>
    <t>ORD-20230</t>
  </si>
  <si>
    <t>ORD-20420</t>
  </si>
  <si>
    <t>ORD-20247</t>
  </si>
  <si>
    <t>ORD-20399</t>
  </si>
  <si>
    <t>ORD-20086</t>
  </si>
  <si>
    <t>ORD-20250</t>
  </si>
  <si>
    <t>ORD-20155</t>
  </si>
  <si>
    <t>ORD-20182</t>
  </si>
  <si>
    <t>ORD-20075</t>
  </si>
  <si>
    <t>ORD-20129</t>
  </si>
  <si>
    <t>ORD-20367</t>
  </si>
  <si>
    <t>ORD-20021</t>
  </si>
  <si>
    <t>ORD-20340</t>
  </si>
  <si>
    <t>ORD-20301</t>
  </si>
  <si>
    <t>ORD-20361</t>
  </si>
  <si>
    <t>ORD-20098</t>
  </si>
  <si>
    <t>ORD-20419</t>
  </si>
  <si>
    <t>ORD-20444</t>
  </si>
  <si>
    <t>ORD-20253</t>
  </si>
  <si>
    <t>ORD-20070</t>
  </si>
  <si>
    <t>ORD-20088</t>
  </si>
  <si>
    <t>ORD-20115</t>
  </si>
  <si>
    <t>ORD-20344</t>
  </si>
  <si>
    <t>ORD-20347</t>
  </si>
  <si>
    <t>ORD-20197</t>
  </si>
  <si>
    <t>ORD-20168</t>
  </si>
  <si>
    <t>ORD-20105</t>
  </si>
  <si>
    <t>ORD-20397</t>
  </si>
  <si>
    <t>ORD-20078</t>
  </si>
  <si>
    <t>ORD-20193</t>
  </si>
  <si>
    <t>ORD-20055</t>
  </si>
  <si>
    <t>ORD-20020</t>
  </si>
  <si>
    <t>ORD-20443</t>
  </si>
  <si>
    <t>ORD-20179</t>
  </si>
  <si>
    <t>ORD-20258</t>
  </si>
  <si>
    <t>ORD-20256</t>
  </si>
  <si>
    <t>ORD-20216</t>
  </si>
  <si>
    <t>ORD-20403</t>
  </si>
  <si>
    <t>ORD-20194</t>
  </si>
  <si>
    <t>ORD-20131</t>
  </si>
  <si>
    <t>ORD-20429</t>
  </si>
  <si>
    <t>ORD-20101</t>
  </si>
  <si>
    <t>ORD-20172</t>
  </si>
  <si>
    <t>ORD-20408</t>
  </si>
  <si>
    <t>ORD-20355</t>
  </si>
  <si>
    <t>ORD-20427</t>
  </si>
  <si>
    <t>ORD-20144</t>
  </si>
  <si>
    <t>ORD-20335</t>
  </si>
  <si>
    <t>ORD-20317</t>
  </si>
  <si>
    <t>ORD-20203</t>
  </si>
  <si>
    <t>ORD-20201</t>
  </si>
  <si>
    <t>ORD-20316</t>
  </si>
  <si>
    <t>ORD-20149</t>
  </si>
  <si>
    <t>ORD-20269</t>
  </si>
  <si>
    <t>ORD-20122</t>
  </si>
  <si>
    <t>ORD-20137</t>
  </si>
  <si>
    <t>ORD-20028</t>
  </si>
  <si>
    <t>ORD-20417</t>
  </si>
  <si>
    <t>ORD-20058</t>
  </si>
  <si>
    <t>ORD-20195</t>
  </si>
  <si>
    <t>ORD-20271</t>
  </si>
  <si>
    <t>ORD-20368</t>
  </si>
  <si>
    <t>ORD-20064</t>
  </si>
  <si>
    <t>ORD-20071</t>
  </si>
  <si>
    <t>ORD-20343</t>
  </si>
  <si>
    <t>ORD-20272</t>
  </si>
  <si>
    <t>ORD-20383</t>
  </si>
  <si>
    <t>ORD-20267</t>
  </si>
  <si>
    <t>ORD-20351</t>
  </si>
  <si>
    <t>ORD-20354</t>
  </si>
  <si>
    <t>ORD-20170</t>
  </si>
  <si>
    <t>ORD-20037</t>
  </si>
  <si>
    <t>ORD-20244</t>
  </si>
  <si>
    <t>ORD-20083</t>
  </si>
  <si>
    <t>ORD-20261</t>
  </si>
  <si>
    <t>ORD-20430</t>
  </si>
  <si>
    <t>ORD-20023</t>
  </si>
  <si>
    <t>ORD-20338</t>
  </si>
  <si>
    <t>ORD-20309</t>
  </si>
  <si>
    <t>ORD-20441</t>
  </si>
  <si>
    <t>ORD-20240</t>
  </si>
  <si>
    <t>ORD-20221</t>
  </si>
  <si>
    <t>ORD-20014</t>
  </si>
  <si>
    <t>ORD-20364</t>
  </si>
  <si>
    <t>ORD-20161</t>
  </si>
  <si>
    <t>ORD-20073</t>
  </si>
  <si>
    <t>ORD-20178</t>
  </si>
  <si>
    <t>ORD-20277</t>
  </si>
  <si>
    <t>ORD-20036</t>
  </si>
  <si>
    <t>ORD-20327</t>
  </si>
  <si>
    <t>ORD-20208</t>
  </si>
  <si>
    <t>ORD-20226</t>
  </si>
  <si>
    <t>ORD-20121</t>
  </si>
  <si>
    <t>ORD-20217</t>
  </si>
  <si>
    <t>ORD-20030</t>
  </si>
  <si>
    <t>ORD-20348</t>
  </si>
  <si>
    <t>ORD-20189</t>
  </si>
  <si>
    <t>ORD-20434</t>
  </si>
  <si>
    <t>ORD-20326</t>
  </si>
  <si>
    <t>ORD-20181</t>
  </si>
  <si>
    <t>ORD-20234</t>
  </si>
  <si>
    <t>ORD-20439</t>
  </si>
  <si>
    <t>ORD-20166</t>
  </si>
  <si>
    <t>ORD-20127</t>
  </si>
  <si>
    <t>ORD-20449</t>
  </si>
  <si>
    <t>ORD-20265</t>
  </si>
  <si>
    <t>ORD-20065</t>
  </si>
  <si>
    <t>ORD-20396</t>
  </si>
  <si>
    <t>ORD-20215</t>
  </si>
  <si>
    <t>ORD-20339</t>
  </si>
  <si>
    <t>ORD-20395</t>
  </si>
  <si>
    <t>ORD-20176</t>
  </si>
  <si>
    <t>ORD-20173</t>
  </si>
  <si>
    <t>ORD-20333</t>
  </si>
  <si>
    <t>ORD-20033</t>
  </si>
  <si>
    <t>ORD-20032</t>
  </si>
  <si>
    <t>ORD-20233</t>
  </si>
  <si>
    <t>ORD-20236</t>
  </si>
  <si>
    <t>ORD-20375</t>
  </si>
  <si>
    <t>ORD-20188</t>
  </si>
  <si>
    <t>ORD-20174</t>
  </si>
  <si>
    <t>ORD-20445</t>
  </si>
  <si>
    <t>ORD-20304</t>
  </si>
  <si>
    <t>ORD-20039</t>
  </si>
  <si>
    <t>ORD-20266</t>
  </si>
  <si>
    <t>ORD-20422</t>
  </si>
  <si>
    <t>ORD-20015</t>
  </si>
  <si>
    <t>ORD-20095</t>
  </si>
  <si>
    <t>ORD-20017</t>
  </si>
  <si>
    <t>ORD-20392</t>
  </si>
  <si>
    <t>ORD-20342</t>
  </si>
  <si>
    <t>ORD-20218</t>
  </si>
  <si>
    <t>ORD-20290</t>
  </si>
  <si>
    <t>ORD-20079</t>
  </si>
  <si>
    <t>ORD-20092</t>
  </si>
  <si>
    <t>ORD-20388</t>
  </si>
  <si>
    <t>ORD-20184</t>
  </si>
  <si>
    <t>ORD-20381</t>
  </si>
  <si>
    <t>ORD-20324</t>
  </si>
  <si>
    <t>ORD-20268</t>
  </si>
  <si>
    <t>ORD-20165</t>
  </si>
  <si>
    <t>ORD-20110</t>
  </si>
  <si>
    <t>ORD-20365</t>
  </si>
  <si>
    <t>ORD-20357</t>
  </si>
  <si>
    <t>ORD-20136</t>
  </si>
  <si>
    <t>ORD-20246</t>
  </si>
  <si>
    <t>ORD-20370</t>
  </si>
  <si>
    <t>ORD-20275</t>
  </si>
  <si>
    <t>ORD-20148</t>
  </si>
  <si>
    <t>ORD-20106</t>
  </si>
  <si>
    <t>ORD-20295</t>
  </si>
  <si>
    <t>ORD-20325</t>
  </si>
  <si>
    <t>ORD-20259</t>
  </si>
  <si>
    <t>ORD-20450</t>
  </si>
  <si>
    <t>ORD-20180</t>
  </si>
  <si>
    <t>ORD-20362</t>
  </si>
  <si>
    <t>ORD-20111</t>
  </si>
  <si>
    <t>ORD-20389</t>
  </si>
  <si>
    <t>ORD-20257</t>
  </si>
  <si>
    <t>ORD-20315</t>
  </si>
  <si>
    <t>ORD-20006</t>
  </si>
  <si>
    <t>ORD-20145</t>
  </si>
  <si>
    <t>ORD-20104</t>
  </si>
  <si>
    <t>ORD-20211</t>
  </si>
  <si>
    <t>ORD-20386</t>
  </si>
  <si>
    <t>ORD-20042</t>
  </si>
  <si>
    <t>ORD-20363</t>
  </si>
  <si>
    <t>ORD-20138</t>
  </si>
  <si>
    <t>ORD-20378</t>
  </si>
  <si>
    <t>ORD-20255</t>
  </si>
  <si>
    <t>ORD-20147</t>
  </si>
  <si>
    <t>ORD-20126</t>
  </si>
  <si>
    <t>ORD-20087</t>
  </si>
  <si>
    <t>ORD-20031</t>
  </si>
  <si>
    <t>ORD-20432</t>
  </si>
  <si>
    <t>ORD-20066</t>
  </si>
  <si>
    <t>ORD-20204</t>
  </si>
  <si>
    <t>ORD-20206</t>
  </si>
  <si>
    <t>ORD-20045</t>
  </si>
  <si>
    <t>ORD-20081</t>
  </si>
  <si>
    <t>ORD-20438</t>
  </si>
  <si>
    <t>ORD-20114</t>
  </si>
  <si>
    <t>ORD-20400</t>
  </si>
  <si>
    <t>ORD-20205</t>
  </si>
  <si>
    <t>ORD-20008</t>
  </si>
  <si>
    <t>ORD-20209</t>
  </si>
  <si>
    <t>ORD-20159</t>
  </si>
  <si>
    <t>ORD-20113</t>
  </si>
  <si>
    <t>ORD-20412</t>
  </si>
  <si>
    <t>ORD-20447</t>
  </si>
  <si>
    <t>ORD-20232</t>
  </si>
  <si>
    <t>ORD-20229</t>
  </si>
  <si>
    <t>ORD-20009</t>
  </si>
  <si>
    <t>ORD-20401</t>
  </si>
  <si>
    <t>ORD-20119</t>
  </si>
  <si>
    <t>ORD-20190</t>
  </si>
  <si>
    <t>ORD-20207</t>
  </si>
  <si>
    <t>ORD-20356</t>
  </si>
  <si>
    <t>09 Apr 2026</t>
  </si>
  <si>
    <t>Add-on: Storage</t>
  </si>
  <si>
    <t>8000.0</t>
  </si>
  <si>
    <t>new</t>
  </si>
  <si>
    <t>2026-05-03</t>
  </si>
  <si>
    <t>google ads</t>
  </si>
  <si>
    <t>30000.0</t>
  </si>
  <si>
    <t>RETURNING</t>
  </si>
  <si>
    <t>12 Feb 2025</t>
  </si>
  <si>
    <t>12750.0</t>
  </si>
  <si>
    <t>01/16/2025</t>
  </si>
  <si>
    <t xml:space="preserve"> </t>
  </si>
  <si>
    <t>31 Jan 2025</t>
  </si>
  <si>
    <t>Walk-in</t>
  </si>
  <si>
    <t>117000.0</t>
  </si>
  <si>
    <t>28-08-2025</t>
  </si>
  <si>
    <t>4250.0</t>
  </si>
  <si>
    <t>02/21/2026</t>
  </si>
  <si>
    <t>ABUJA</t>
  </si>
  <si>
    <t>52000.0</t>
  </si>
  <si>
    <t>10/23/2025</t>
  </si>
  <si>
    <t>instagram</t>
  </si>
  <si>
    <t>24000.0</t>
  </si>
  <si>
    <t>01/31/2026</t>
  </si>
  <si>
    <t>45000.0</t>
  </si>
  <si>
    <t>27 Apr 2026</t>
  </si>
  <si>
    <t>10000.0</t>
  </si>
  <si>
    <t>12/11/2025</t>
  </si>
  <si>
    <t xml:space="preserve">lagos </t>
  </si>
  <si>
    <t>chidinma o.</t>
  </si>
  <si>
    <t>65000.0</t>
  </si>
  <si>
    <t>2025-05-18</t>
  </si>
  <si>
    <t>BAYO A.</t>
  </si>
  <si>
    <t>15000.0</t>
  </si>
  <si>
    <t>2026-07-27</t>
  </si>
  <si>
    <t>30 Apr 2025</t>
  </si>
  <si>
    <t>5000.0</t>
  </si>
  <si>
    <t>11/08/2025</t>
  </si>
  <si>
    <t>33250.0</t>
  </si>
  <si>
    <t>2025-05-30</t>
  </si>
  <si>
    <t>16 Jan 2026</t>
  </si>
  <si>
    <t>TikTok</t>
  </si>
  <si>
    <t>66500.0</t>
  </si>
  <si>
    <t>07-06-2025</t>
  </si>
  <si>
    <t>70000.0</t>
  </si>
  <si>
    <t>2026-07-22</t>
  </si>
  <si>
    <t>9000.0</t>
  </si>
  <si>
    <t>02/18/2025</t>
  </si>
  <si>
    <t>13500.0</t>
  </si>
  <si>
    <t>06-02-2026</t>
  </si>
  <si>
    <t>9500.0</t>
  </si>
  <si>
    <t>2025-03-12</t>
  </si>
  <si>
    <t>63000.0</t>
  </si>
  <si>
    <t>01/17/2025</t>
  </si>
  <si>
    <t>123500.0</t>
  </si>
  <si>
    <t>16-10-2025</t>
  </si>
  <si>
    <t>Add-on: Support</t>
  </si>
  <si>
    <t>16000.0</t>
  </si>
  <si>
    <t>22 May 2025</t>
  </si>
  <si>
    <t>165750.0</t>
  </si>
  <si>
    <t>02-05-2026</t>
  </si>
  <si>
    <t>10-03-2025</t>
  </si>
  <si>
    <t>2025-02-15</t>
  </si>
  <si>
    <t>03/04/2026</t>
  </si>
  <si>
    <t>03/15/2025</t>
  </si>
  <si>
    <t>05 Dec 2025</t>
  </si>
  <si>
    <t>06/16/2026</t>
  </si>
  <si>
    <t>130000.0</t>
  </si>
  <si>
    <t>08/24/2025</t>
  </si>
  <si>
    <t>8500.0</t>
  </si>
  <si>
    <t>12-01-2025</t>
  </si>
  <si>
    <t>55250.0</t>
  </si>
  <si>
    <t>29 Mar 2026</t>
  </si>
  <si>
    <t>2025-07-25</t>
  </si>
  <si>
    <t>4500.0</t>
  </si>
  <si>
    <t>24-05-2026</t>
  </si>
  <si>
    <t>07 Apr 2026</t>
  </si>
  <si>
    <t>21-05-2026</t>
  </si>
  <si>
    <t>10/12/2025</t>
  </si>
  <si>
    <t>2025-01-20</t>
  </si>
  <si>
    <t>2025-09-01</t>
  </si>
  <si>
    <t>01/13/2026</t>
  </si>
  <si>
    <t>28000.0</t>
  </si>
  <si>
    <t>07/02/2025</t>
  </si>
  <si>
    <t>20-08-2025</t>
  </si>
  <si>
    <t>FACEBOOK</t>
  </si>
  <si>
    <t>110500.0</t>
  </si>
  <si>
    <t>08/18/2025</t>
  </si>
  <si>
    <t>14250.0</t>
  </si>
  <si>
    <t>2026-04-10</t>
  </si>
  <si>
    <t>27000.0</t>
  </si>
  <si>
    <t>2025-12-01</t>
  </si>
  <si>
    <t>36000.0</t>
  </si>
  <si>
    <t>06 Sep 2025</t>
  </si>
  <si>
    <t>17-01-2025</t>
  </si>
  <si>
    <t>09 Oct 2025</t>
  </si>
  <si>
    <t>12000.0</t>
  </si>
  <si>
    <t>27-06-2025</t>
  </si>
  <si>
    <t>08/16/2026</t>
  </si>
  <si>
    <t>18-06-2025</t>
  </si>
  <si>
    <t>185250.0</t>
  </si>
  <si>
    <t>12-07-2026</t>
  </si>
  <si>
    <t>06 Jan 2025</t>
  </si>
  <si>
    <t>05 May 2025</t>
  </si>
  <si>
    <t>15 Apr 2026</t>
  </si>
  <si>
    <t>21 Mar 2026</t>
  </si>
  <si>
    <t>2025-09-24</t>
  </si>
  <si>
    <t>18-10-2025</t>
  </si>
  <si>
    <t>58500.0</t>
  </si>
  <si>
    <t>05/27/2026</t>
  </si>
  <si>
    <t>24 Jan 2025</t>
  </si>
  <si>
    <t>2025-07-29</t>
  </si>
  <si>
    <t>6400.0</t>
  </si>
  <si>
    <t>2025-12-22</t>
  </si>
  <si>
    <t>2025-04-10</t>
  </si>
  <si>
    <t>29750.0</t>
  </si>
  <si>
    <t>22 Mar 2026</t>
  </si>
  <si>
    <t>01/19/2025</t>
  </si>
  <si>
    <t>59500.0</t>
  </si>
  <si>
    <t>29-04-2025</t>
  </si>
  <si>
    <t>19200.0</t>
  </si>
  <si>
    <t>04/19/2025</t>
  </si>
  <si>
    <t>2025-04-28</t>
  </si>
  <si>
    <t>35000.0</t>
  </si>
  <si>
    <t>04/19/2026</t>
  </si>
  <si>
    <t>12-06-2026</t>
  </si>
  <si>
    <t>2025-02-11</t>
  </si>
  <si>
    <t>2025-07-19</t>
  </si>
  <si>
    <t>2026-02-19</t>
  </si>
  <si>
    <t>13 Jun 2025</t>
  </si>
  <si>
    <t>31500.0</t>
  </si>
  <si>
    <t>2026-02-20</t>
  </si>
  <si>
    <t>11-01-2025</t>
  </si>
  <si>
    <t>03-11-2025</t>
  </si>
  <si>
    <t>99750.0</t>
  </si>
  <si>
    <t>20 Mar 2025</t>
  </si>
  <si>
    <t>13600.0</t>
  </si>
  <si>
    <t>08/12/2026</t>
  </si>
  <si>
    <t>06/01/2026</t>
  </si>
  <si>
    <t>22-09-2025</t>
  </si>
  <si>
    <t>13 Apr 2025</t>
  </si>
  <si>
    <t>31 Jan 2026</t>
  </si>
  <si>
    <t>07-03-2026</t>
  </si>
  <si>
    <t>14400.0</t>
  </si>
  <si>
    <t>10-05-2026</t>
  </si>
  <si>
    <t>6800.0</t>
  </si>
  <si>
    <t>08/23/2026</t>
  </si>
  <si>
    <t>56000.0</t>
  </si>
  <si>
    <t>19 Nov 2025</t>
  </si>
  <si>
    <t>25500.0</t>
  </si>
  <si>
    <t>16 Mar 2026</t>
  </si>
  <si>
    <t>2026-04-25</t>
  </si>
  <si>
    <t>04/12/2026</t>
  </si>
  <si>
    <t>24 May 2025</t>
  </si>
  <si>
    <t>2026-06-28</t>
  </si>
  <si>
    <t>195000.0</t>
  </si>
  <si>
    <t>13-11-2025</t>
  </si>
  <si>
    <t>2025-07-14</t>
  </si>
  <si>
    <t>03/04/2025</t>
  </si>
  <si>
    <t>61750.0</t>
  </si>
  <si>
    <t>16-08-2025</t>
  </si>
  <si>
    <t>29-08-2025</t>
  </si>
  <si>
    <t>18 Dec 2025</t>
  </si>
  <si>
    <t>07 Aug 2025</t>
  </si>
  <si>
    <t>2026-01-13</t>
  </si>
  <si>
    <t>01/14/2026</t>
  </si>
  <si>
    <t>12 May 2026</t>
  </si>
  <si>
    <t>25-03-2025</t>
  </si>
  <si>
    <t>13-08-2025</t>
  </si>
  <si>
    <t>02-09-2026</t>
  </si>
  <si>
    <t>2026-02-14</t>
  </si>
  <si>
    <t>10 Feb 2026</t>
  </si>
  <si>
    <t>94500.0</t>
  </si>
  <si>
    <t>2025-06-08</t>
  </si>
  <si>
    <t>2025-01-23</t>
  </si>
  <si>
    <t>7200.0</t>
  </si>
  <si>
    <t>03/09/2026</t>
  </si>
  <si>
    <t>18-04-2025</t>
  </si>
  <si>
    <t>2026-03-09</t>
  </si>
  <si>
    <t>25-12-2025</t>
  </si>
  <si>
    <t>03/16/2025</t>
  </si>
  <si>
    <t>04/21/2026</t>
  </si>
  <si>
    <t>2026-03-07</t>
  </si>
  <si>
    <t>105000.0</t>
  </si>
  <si>
    <t>21-06-2025</t>
  </si>
  <si>
    <t>28-04-2026</t>
  </si>
  <si>
    <t>05 Mar 2025</t>
  </si>
  <si>
    <t>08-07-2025</t>
  </si>
  <si>
    <t>2026-03-29</t>
  </si>
  <si>
    <t>06-05-2026</t>
  </si>
  <si>
    <t>02/14/2026</t>
  </si>
  <si>
    <t>13-06-2026</t>
  </si>
  <si>
    <t>2026-04-06</t>
  </si>
  <si>
    <t>10-06-2025</t>
  </si>
  <si>
    <t>09/30/2025</t>
  </si>
  <si>
    <t>05/12/2025</t>
  </si>
  <si>
    <t>04/25/2026</t>
  </si>
  <si>
    <t>12800.0</t>
  </si>
  <si>
    <t>2026-03-03</t>
  </si>
  <si>
    <t>28 Feb 2026</t>
  </si>
  <si>
    <t>10 Nov 2025</t>
  </si>
  <si>
    <t>08 Feb 2026</t>
  </si>
  <si>
    <t>42750.0</t>
  </si>
  <si>
    <t>2026-05-02</t>
  </si>
  <si>
    <t>2025-07-31</t>
  </si>
  <si>
    <t>07/23/2026</t>
  </si>
  <si>
    <t>14-11-2025</t>
  </si>
  <si>
    <t>01/27/2026</t>
  </si>
  <si>
    <t>2025-07-03</t>
  </si>
  <si>
    <t>2025-04-13</t>
  </si>
  <si>
    <t>16-03-2025</t>
  </si>
  <si>
    <t>2025-11-22</t>
  </si>
  <si>
    <t>11 Nov 2025</t>
  </si>
  <si>
    <t>28500.0</t>
  </si>
  <si>
    <t>2025-04-16</t>
  </si>
  <si>
    <t>2026-06-10</t>
  </si>
  <si>
    <t>07/22/2025</t>
  </si>
  <si>
    <t>04-04-2025</t>
  </si>
  <si>
    <t>09/02/2025</t>
  </si>
  <si>
    <t>05/30/2025</t>
  </si>
  <si>
    <t>2026-01-07</t>
  </si>
  <si>
    <t>2025-07-04</t>
  </si>
  <si>
    <t>156000.0</t>
  </si>
  <si>
    <t>2025-01-17</t>
  </si>
  <si>
    <t>02 May 2025</t>
  </si>
  <si>
    <t>07-09-2025</t>
  </si>
  <si>
    <t>17 Feb 2026</t>
  </si>
  <si>
    <t>7600.0</t>
  </si>
  <si>
    <t>02 Aug 2026</t>
  </si>
  <si>
    <t>08/03/2026</t>
  </si>
  <si>
    <t>11/25/2025</t>
  </si>
  <si>
    <t>175500.0</t>
  </si>
  <si>
    <t>26-11-2025</t>
  </si>
  <si>
    <t>13-07-2026</t>
  </si>
  <si>
    <t>2026-03-08</t>
  </si>
  <si>
    <t>89250.0</t>
  </si>
  <si>
    <t>2025-04-11</t>
  </si>
  <si>
    <t>2025-10-31</t>
  </si>
  <si>
    <t>28 Jun 2026</t>
  </si>
  <si>
    <t>11-04-2026</t>
  </si>
  <si>
    <t>04/29/2026</t>
  </si>
  <si>
    <t>2025-08-30</t>
  </si>
  <si>
    <t>17-11-2025</t>
  </si>
  <si>
    <t>03/02/2026</t>
  </si>
  <si>
    <t>21-07-2025</t>
  </si>
  <si>
    <t>01/17/2026</t>
  </si>
  <si>
    <t>03/27/2026</t>
  </si>
  <si>
    <t>08/06/2026</t>
  </si>
  <si>
    <t>07/16/2026</t>
  </si>
  <si>
    <t>01/29/2026</t>
  </si>
  <si>
    <t>04-01-2026</t>
  </si>
  <si>
    <t>2026-06-18</t>
  </si>
  <si>
    <t>15-07-2026</t>
  </si>
  <si>
    <t>26-05-2026</t>
  </si>
  <si>
    <t>2025-11-29</t>
  </si>
  <si>
    <t>31 May 2026</t>
  </si>
  <si>
    <t>2026-07-11</t>
  </si>
  <si>
    <t>18-11-2025</t>
  </si>
  <si>
    <t>2025-09-18</t>
  </si>
  <si>
    <t>20 Nov 2025</t>
  </si>
  <si>
    <t>12 May 2025</t>
  </si>
  <si>
    <t>02/10/2025</t>
  </si>
  <si>
    <t>02 Nov 2025</t>
  </si>
  <si>
    <t>2026-07-20</t>
  </si>
  <si>
    <t>08/12/2025</t>
  </si>
  <si>
    <t>2026-08-28</t>
  </si>
  <si>
    <t>01/23/2026</t>
  </si>
  <si>
    <t>17 Jun 2025</t>
  </si>
  <si>
    <t>03 Apr 2026</t>
  </si>
  <si>
    <t>26 Sep 2025</t>
  </si>
  <si>
    <t>20400.0</t>
  </si>
  <si>
    <t>2025-02-28</t>
  </si>
  <si>
    <t>21-01-2025</t>
  </si>
  <si>
    <t>26-02-2025</t>
  </si>
  <si>
    <t>2025-07-12</t>
  </si>
  <si>
    <t>16 Nov 2025</t>
  </si>
  <si>
    <t>24-09-2025</t>
  </si>
  <si>
    <t>02 Jul 2026</t>
  </si>
  <si>
    <t>4750.0</t>
  </si>
  <si>
    <t>15-01-2026</t>
  </si>
  <si>
    <t>05/10/2026</t>
  </si>
  <si>
    <t>26-07-2026</t>
  </si>
  <si>
    <t>03/14/2026</t>
  </si>
  <si>
    <t>03-12-2025</t>
  </si>
  <si>
    <t>2026-02-17</t>
  </si>
  <si>
    <t>17 Dec 2025</t>
  </si>
  <si>
    <t>11/12/2025</t>
  </si>
  <si>
    <t>25 Feb 2025</t>
  </si>
  <si>
    <t>01-11-2025</t>
  </si>
  <si>
    <t>2025-02-01</t>
  </si>
  <si>
    <t>01/30/2026</t>
  </si>
  <si>
    <t>22-05-2026</t>
  </si>
  <si>
    <t>2025-08-14</t>
  </si>
  <si>
    <t>05/21/2026</t>
  </si>
  <si>
    <t>20-01-2025</t>
  </si>
  <si>
    <t>13-06-2025</t>
  </si>
  <si>
    <t>22800.0</t>
  </si>
  <si>
    <t>11 Jan 2026</t>
  </si>
  <si>
    <t>2026-06-11</t>
  </si>
  <si>
    <t>26 Apr 2025</t>
  </si>
  <si>
    <t>05/09/2026</t>
  </si>
  <si>
    <t>15-09-2025</t>
  </si>
  <si>
    <t>05 Aug 2026</t>
  </si>
  <si>
    <t>25 Jul 2025</t>
  </si>
  <si>
    <t>07/09/2025</t>
  </si>
  <si>
    <t>06-03-2026</t>
  </si>
  <si>
    <t>06/11/2025</t>
  </si>
  <si>
    <t>19-02-2026</t>
  </si>
  <si>
    <t>01/18/2026</t>
  </si>
  <si>
    <t>104000.0</t>
  </si>
  <si>
    <t>2026-02-22</t>
  </si>
  <si>
    <t>2025-10-17</t>
  </si>
  <si>
    <t>4000.0</t>
  </si>
  <si>
    <t>15 May 2026</t>
  </si>
  <si>
    <t>2026-08-03</t>
  </si>
  <si>
    <t>2026-05-09</t>
  </si>
  <si>
    <t>03/07/2025</t>
  </si>
  <si>
    <t>2025-05-24</t>
  </si>
  <si>
    <t>28 Jul 2026</t>
  </si>
  <si>
    <t>13-07-2025</t>
  </si>
  <si>
    <t>06/22/2025</t>
  </si>
  <si>
    <t>06 Mar 2025</t>
  </si>
  <si>
    <t>2025-09-29</t>
  </si>
  <si>
    <t>16 Feb 2026</t>
  </si>
  <si>
    <t>2025-05-25</t>
  </si>
  <si>
    <t>09 Jan 2026</t>
  </si>
  <si>
    <t>11/26/2025</t>
  </si>
  <si>
    <t>2025-02-18</t>
  </si>
  <si>
    <t>12/22/2025</t>
  </si>
  <si>
    <t>03/18/2026</t>
  </si>
  <si>
    <t>08-04-2025</t>
  </si>
  <si>
    <t>03/10/2025</t>
  </si>
  <si>
    <t>27 May 2026</t>
  </si>
  <si>
    <t>07-07-2025</t>
  </si>
  <si>
    <t>06-08-2025</t>
  </si>
  <si>
    <t>08/05/2026</t>
  </si>
  <si>
    <t>38250.0</t>
  </si>
  <si>
    <t>06 Mar 2026</t>
  </si>
  <si>
    <t>25 Jun 2026</t>
  </si>
  <si>
    <t>05 Jun 2025</t>
  </si>
  <si>
    <t>19 Jul 2026</t>
  </si>
  <si>
    <t>2025-08-28</t>
  </si>
  <si>
    <t>2025-03-08</t>
  </si>
  <si>
    <t>15 Mar 2025</t>
  </si>
  <si>
    <t>13-04-2025</t>
  </si>
  <si>
    <t>01 May 2025</t>
  </si>
  <si>
    <t>22 Apr 2026</t>
  </si>
  <si>
    <t>21 Jul 2025</t>
  </si>
  <si>
    <t>19-11-2025</t>
  </si>
  <si>
    <t>2025-05-12</t>
  </si>
  <si>
    <t>30 Sep 2025</t>
  </si>
  <si>
    <t>05/07/2025</t>
  </si>
  <si>
    <t>05/20/2026</t>
  </si>
  <si>
    <t>2026-04-11</t>
  </si>
  <si>
    <t>14 Aug 2025</t>
  </si>
  <si>
    <t>02-10-2025</t>
  </si>
  <si>
    <t>40500.0</t>
  </si>
  <si>
    <t>16-05-2025</t>
  </si>
  <si>
    <t>08/28/2026</t>
  </si>
  <si>
    <t>01/08/2026</t>
  </si>
  <si>
    <t>09 Jun 2025</t>
  </si>
  <si>
    <t>2026-03-20</t>
  </si>
  <si>
    <t>2026-02-15</t>
  </si>
  <si>
    <t>27 May 2025</t>
  </si>
  <si>
    <t>17 Sep 2025</t>
  </si>
  <si>
    <t>07/29/2026</t>
  </si>
  <si>
    <t>05/13/2025</t>
  </si>
  <si>
    <t>10 Sep 2025</t>
  </si>
  <si>
    <t>07/26/2026</t>
  </si>
  <si>
    <t>2026-01-21</t>
  </si>
  <si>
    <t>11/04/2025</t>
  </si>
  <si>
    <t>09/25/2025</t>
  </si>
  <si>
    <t>05/22/2025</t>
  </si>
  <si>
    <t>2025-09-22</t>
  </si>
  <si>
    <t>03 Jan 2026</t>
  </si>
  <si>
    <t>2025-03-05</t>
  </si>
  <si>
    <t>12-04-2025</t>
  </si>
  <si>
    <t>17 Jun 2026</t>
  </si>
  <si>
    <t>2026-01-01</t>
  </si>
  <si>
    <t>08/27/2026</t>
  </si>
  <si>
    <t>12/19/2025</t>
  </si>
  <si>
    <t>18 Jan 2026</t>
  </si>
  <si>
    <t>14-09-2025</t>
  </si>
  <si>
    <t>10/17/2025</t>
  </si>
  <si>
    <t>2025-03-18</t>
  </si>
  <si>
    <t>03/24/2026</t>
  </si>
  <si>
    <t>10 Apr 2025</t>
  </si>
  <si>
    <t>29 Apr 2026</t>
  </si>
  <si>
    <t>21 May 2026</t>
  </si>
  <si>
    <t>2026-07-17</t>
  </si>
  <si>
    <t>25 Dec 2025</t>
  </si>
  <si>
    <t>19-04-2026</t>
  </si>
  <si>
    <t>2026-05-17</t>
  </si>
  <si>
    <t>16-02-2025</t>
  </si>
  <si>
    <t>2025-05-01</t>
  </si>
  <si>
    <t>05-02-2025</t>
  </si>
  <si>
    <t>03-04-2026</t>
  </si>
  <si>
    <t>02-07-2026</t>
  </si>
  <si>
    <t>29-11-2025</t>
  </si>
  <si>
    <t>09/29/2025</t>
  </si>
  <si>
    <t>28-10-2025</t>
  </si>
  <si>
    <t>19-03-2025</t>
  </si>
  <si>
    <t>2026-02-04</t>
  </si>
  <si>
    <t>16-06-2025</t>
  </si>
  <si>
    <t>28 Aug 2025</t>
  </si>
  <si>
    <t>02-06-2026</t>
  </si>
  <si>
    <t>04/23/2025</t>
  </si>
  <si>
    <t>2026-08-08</t>
  </si>
  <si>
    <t>30-03-2025</t>
  </si>
  <si>
    <t>07/17/2025</t>
  </si>
  <si>
    <t>20-09-2025</t>
  </si>
  <si>
    <t>2026-06-16</t>
  </si>
  <si>
    <t>03/01/2026</t>
  </si>
  <si>
    <t>10 Aug 2025</t>
  </si>
  <si>
    <t>22 Dec 2025</t>
  </si>
  <si>
    <t>10-12-2025</t>
  </si>
  <si>
    <t>05-08-2025</t>
  </si>
  <si>
    <t>06-06-2026</t>
  </si>
  <si>
    <t>2026-05-31</t>
  </si>
  <si>
    <t>2026-03-06</t>
  </si>
  <si>
    <t>08/31/2026</t>
  </si>
  <si>
    <t>2026-03-12</t>
  </si>
  <si>
    <t>23-11-2025</t>
  </si>
  <si>
    <t>2025-08-31</t>
  </si>
  <si>
    <t>04-05-2025</t>
  </si>
  <si>
    <t>11-11-2025</t>
  </si>
  <si>
    <t>19 Jun 2026</t>
  </si>
  <si>
    <t>20-03-2025</t>
  </si>
  <si>
    <t>16 May 2026</t>
  </si>
  <si>
    <t>26 Mar 2026</t>
  </si>
  <si>
    <t>27 Jun 2025</t>
  </si>
  <si>
    <t>2025-11-21</t>
  </si>
  <si>
    <t>08 Jul 2026</t>
  </si>
  <si>
    <t>16 Jun 2025</t>
  </si>
  <si>
    <t>29 Aug 2025</t>
  </si>
  <si>
    <t>04/10/2025</t>
  </si>
  <si>
    <t>01/24/2026</t>
  </si>
  <si>
    <t>06 Aug 2026</t>
  </si>
  <si>
    <t>05/27/2025</t>
  </si>
  <si>
    <t>03/01/2025</t>
  </si>
  <si>
    <t>31-05-2026</t>
  </si>
  <si>
    <t>2025-11-07</t>
  </si>
  <si>
    <t>15-11-2025</t>
  </si>
  <si>
    <t>05/09/2025</t>
  </si>
  <si>
    <t>06-08-2026</t>
  </si>
  <si>
    <t>12/28/2025</t>
  </si>
  <si>
    <t>28-01-2025</t>
  </si>
  <si>
    <t>30-06-2026</t>
  </si>
  <si>
    <t>05/15/2026</t>
  </si>
  <si>
    <t>2026-06-23</t>
  </si>
  <si>
    <t>02/12/2026</t>
  </si>
  <si>
    <t>29 Jun 2026</t>
  </si>
  <si>
    <t>28-05-2026</t>
  </si>
  <si>
    <t>15200.0</t>
  </si>
  <si>
    <t>07/06/2025</t>
  </si>
  <si>
    <t>22-08-2026</t>
  </si>
  <si>
    <t>20 Apr 2025</t>
  </si>
  <si>
    <t>2026-03-25</t>
  </si>
  <si>
    <t>03 Sep 2025</t>
  </si>
  <si>
    <t>01 May 2026</t>
  </si>
  <si>
    <t>03-05-2025</t>
  </si>
  <si>
    <t>2026-02-13</t>
  </si>
  <si>
    <t>01-08-2025</t>
  </si>
  <si>
    <t>18 Jul 2026</t>
  </si>
  <si>
    <t>21-08-2025</t>
  </si>
  <si>
    <t>2025-11-02</t>
  </si>
  <si>
    <t>18 Jan 2025</t>
  </si>
  <si>
    <t>12-02-2026</t>
  </si>
  <si>
    <t>09 Aug 2025</t>
  </si>
  <si>
    <t>06/10/2025</t>
  </si>
  <si>
    <t>04-08-2026</t>
  </si>
  <si>
    <t>15-05-2026</t>
  </si>
  <si>
    <t>19 Apr 2026</t>
  </si>
  <si>
    <t>03/19/2025</t>
  </si>
  <si>
    <t>2026-01-08</t>
  </si>
  <si>
    <t>2025-09-13</t>
  </si>
  <si>
    <t>2025-01-28</t>
  </si>
  <si>
    <t>26-10-2025</t>
  </si>
  <si>
    <t>12 Aug 2025</t>
  </si>
  <si>
    <t>2025-08-17</t>
  </si>
  <si>
    <t>27 Mar 2026</t>
  </si>
  <si>
    <t>2025-12-23</t>
  </si>
  <si>
    <t>28 Dec 2025</t>
  </si>
  <si>
    <t>11/27/2025</t>
  </si>
  <si>
    <t>2025-01-04</t>
  </si>
  <si>
    <t>2026-04-26</t>
  </si>
  <si>
    <t>08 Sep 2025</t>
  </si>
  <si>
    <t>2026-08-13</t>
  </si>
  <si>
    <t>02/02/2025</t>
  </si>
  <si>
    <t>07/19/2025</t>
  </si>
  <si>
    <t>24-07-2026</t>
  </si>
  <si>
    <t>Grand Total</t>
  </si>
  <si>
    <t>Total Adspend</t>
  </si>
  <si>
    <t>Marketing Channels</t>
  </si>
  <si>
    <t>Sum of Revenue</t>
  </si>
  <si>
    <t>Total Revenue</t>
  </si>
  <si>
    <t>Count of CustomerType</t>
  </si>
  <si>
    <t>Products</t>
  </si>
  <si>
    <t xml:space="preserve">Sales &amp; Marketing Performance Analysis: A Channel, Region, and Product-Level </t>
  </si>
  <si>
    <t>Sum of ROAS</t>
  </si>
  <si>
    <t>Order count</t>
  </si>
  <si>
    <t>Average order value(AOV)</t>
  </si>
  <si>
    <t>Total Quantity</t>
  </si>
  <si>
    <t>Total AdSpendAttributed</t>
  </si>
  <si>
    <t>Customer type</t>
  </si>
  <si>
    <t>Total number of Customers</t>
  </si>
  <si>
    <t>Total Orders</t>
  </si>
  <si>
    <t>values for display</t>
  </si>
  <si>
    <t>Orders</t>
  </si>
  <si>
    <t>Qunatity</t>
  </si>
  <si>
    <t>Adspend</t>
  </si>
  <si>
    <t>AOV</t>
  </si>
  <si>
    <t>ROAS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</si>
  <si>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</si>
  <si>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</si>
  <si>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</si>
  <si>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</si>
  <si>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</si>
  <si>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</si>
  <si>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</si>
  <si>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</si>
  <si>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</si>
  <si>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</si>
  <si>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Count of OrderID</t>
  </si>
  <si>
    <t>Year</t>
  </si>
  <si>
    <t>Months</t>
  </si>
  <si>
    <t>Product-Plans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</si>
</sst>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dd/mm/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5"/>
      <name val="Arial Black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2" fontId="0" fillId="0" borderId="0" xfId="1" applyNumberFormat="1" applyFon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1" xfId="0" applyBorder="1"/>
    <xf numFmtId="0" fontId="5" fillId="0" borderId="0" xfId="0" applyFont="1"/>
    <xf numFmtId="0" fontId="5" fillId="0" borderId="2" xfId="0" applyFont="1" applyBorder="1"/>
    <xf numFmtId="0" fontId="4" fillId="3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9"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</dxf>
    <dxf>
      <numFmt numFmtId="2" formatCode="0.00"/>
    </dxf>
    <dxf>
      <numFmt numFmtId="164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[Marketing_data(AutoRecovered).xlsx]Analysis!PivotTable2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+mn-lt"/>
              </a:rPr>
              <a:t>Where Is Our Ad Budget Going?</a:t>
            </a:r>
            <a:endParaRPr lang="en-US" b="1">
              <a:latin typeface="+mn-lt"/>
            </a:endParaRPr>
          </a:p>
        </c:rich>
      </c:tx>
      <c:layout>
        <c:manualLayout>
          <c:xMode val="edge"/>
          <c:yMode val="edge"/>
          <c:x val="0.13539445800231478"/>
          <c:y val="5.5555788859725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Analysis!$A$3:$A$8</c:f>
              <c:strCache>
                <c:ptCount val="5"/>
                <c:pt idx="0">
                  <c:v>Instagram</c:v>
                </c:pt>
                <c:pt idx="1">
                  <c:v>Facebook</c:v>
                </c:pt>
                <c:pt idx="2">
                  <c:v>Tiktok</c:v>
                </c:pt>
                <c:pt idx="3">
                  <c:v>Google Ads</c:v>
                </c:pt>
                <c:pt idx="4">
                  <c:v>Unknown-Paid</c:v>
                </c:pt>
              </c:strCache>
            </c:strRef>
          </c:cat>
          <c:val>
            <c:numRef>
              <c:f>Analysis!$B$3:$B$8</c:f>
              <c:numCache>
                <c:formatCode>General</c:formatCode>
                <c:ptCount val="5"/>
                <c:pt idx="0">
                  <c:v>160599.62000000002</c:v>
                </c:pt>
                <c:pt idx="1">
                  <c:v>157642.95000000004</c:v>
                </c:pt>
                <c:pt idx="2">
                  <c:v>124846.56000000001</c:v>
                </c:pt>
                <c:pt idx="3">
                  <c:v>118283.95999999996</c:v>
                </c:pt>
                <c:pt idx="4">
                  <c:v>12082.95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5-4552-9F88-5880DAD9AA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8304335"/>
        <c:axId val="1311075775"/>
      </c:barChart>
      <c:catAx>
        <c:axId val="129830433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75775"/>
        <c:crosses val="autoZero"/>
        <c:auto val="1"/>
        <c:lblAlgn val="ctr"/>
        <c:lblOffset val="100"/>
        <c:noMultiLvlLbl val="0"/>
      </c:catAx>
      <c:valAx>
        <c:axId val="131107577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29830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[Marketing_data(AutoRecovered).xlsx]Analysis!PivotTable3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New Customers Lead, 54% to 46% (Past 20 Months)</a:t>
            </a:r>
            <a:endParaRPr lang="en-US" sz="1400" b="1"/>
          </a:p>
        </c:rich>
      </c:tx>
      <c:layout>
        <c:manualLayout>
          <c:xMode val="edge"/>
          <c:yMode val="edge"/>
          <c:x val="0.13200000000000001"/>
          <c:y val="7.8703703703703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7074584426946636E-2"/>
                  <c:h val="0.17691601049868766"/>
                </c:manualLayout>
              </c15:layout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173694001508405"/>
                  <c:h val="0.15376786235053949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7074584426946636E-2"/>
                  <c:h val="0.17691601049868766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173694001508405"/>
                  <c:h val="0.15376786235053949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7074584426946636E-2"/>
                  <c:h val="0.17691601049868766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5527352301511474"/>
                  <c:h val="0.23895797747586955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C8-45BC-908A-8E54A30701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C8-45BC-908A-8E54A30701DE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9.7074584426946636E-2"/>
                      <c:h val="0.176916010498687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9C8-45BC-908A-8E54A30701DE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5527352301511474"/>
                      <c:h val="0.2389579774758695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9C8-45BC-908A-8E54A30701D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Analysis!$A$18:$A$20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Analysis!$B$18:$B$20</c:f>
              <c:numCache>
                <c:formatCode>0%</c:formatCode>
                <c:ptCount val="2"/>
                <c:pt idx="0">
                  <c:v>0.54</c:v>
                </c:pt>
                <c:pt idx="1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C8-45BC-908A-8E54A3070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445363079615038"/>
          <c:y val="0.40594743365412655"/>
          <c:w val="0.23443525809273841"/>
          <c:h val="0.32638998250218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[Marketing_data(AutoRecovered).xlsx]Analysis!PivotTable8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by Region</a:t>
            </a:r>
            <a:endParaRPr lang="en-US" b="1"/>
          </a:p>
        </c:rich>
      </c:tx>
      <c:layout>
        <c:manualLayout>
          <c:xMode val="edge"/>
          <c:yMode val="edge"/>
          <c:x val="0.30448450132922283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Analysis!$A$47:$A$53</c:f>
              <c:strCache>
                <c:ptCount val="6"/>
                <c:pt idx="0">
                  <c:v>Lagos</c:v>
                </c:pt>
                <c:pt idx="1">
                  <c:v>Abuja</c:v>
                </c:pt>
                <c:pt idx="2">
                  <c:v>Ibadan</c:v>
                </c:pt>
                <c:pt idx="3">
                  <c:v>Port Harcourt</c:v>
                </c:pt>
                <c:pt idx="4">
                  <c:v>Kano</c:v>
                </c:pt>
                <c:pt idx="5">
                  <c:v>Unknown</c:v>
                </c:pt>
              </c:strCache>
            </c:strRef>
          </c:cat>
          <c:val>
            <c:numRef>
              <c:f>Analysis!$B$47:$B$53</c:f>
              <c:numCache>
                <c:formatCode>General</c:formatCode>
                <c:ptCount val="6"/>
                <c:pt idx="0">
                  <c:v>6171750</c:v>
                </c:pt>
                <c:pt idx="1">
                  <c:v>4117200</c:v>
                </c:pt>
                <c:pt idx="2">
                  <c:v>3650750</c:v>
                </c:pt>
                <c:pt idx="3">
                  <c:v>2073200</c:v>
                </c:pt>
                <c:pt idx="4">
                  <c:v>1852150</c:v>
                </c:pt>
                <c:pt idx="5">
                  <c:v>314550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5-44BC-A587-3315BFB996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70203263"/>
        <c:axId val="43653407"/>
      </c:barChart>
      <c:catAx>
        <c:axId val="2070203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53407"/>
        <c:crosses val="autoZero"/>
        <c:auto val="1"/>
        <c:lblAlgn val="ctr"/>
        <c:lblOffset val="100"/>
        <c:noMultiLvlLbl val="0"/>
      </c:catAx>
      <c:valAx>
        <c:axId val="43653407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207020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[Marketing_data(AutoRecovered).xlsx]Analysis!PivotTable20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Similar Order Volume, Very Different Revenue, By Plan</a:t>
            </a:r>
            <a:endParaRPr lang="en-US" b="1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Analysis!$P$3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Analysis!$N$4:$N$9</c:f>
              <c:strCache>
                <c:ptCount val="5"/>
                <c:pt idx="0">
                  <c:v>Premium Plan</c:v>
                </c:pt>
                <c:pt idx="1">
                  <c:v>Pro Plan</c:v>
                </c:pt>
                <c:pt idx="2">
                  <c:v>Starter Plan</c:v>
                </c:pt>
                <c:pt idx="3">
                  <c:v>Add-On: Support</c:v>
                </c:pt>
                <c:pt idx="4">
                  <c:v>Add-On: Storage</c:v>
                </c:pt>
              </c:strCache>
            </c:strRef>
          </c:cat>
          <c:val>
            <c:numRef>
              <c:f>Analysis!$P$4:$P$9</c:f>
              <c:numCache>
                <c:formatCode>General</c:formatCode>
                <c:ptCount val="5"/>
                <c:pt idx="0">
                  <c:v>9070750</c:v>
                </c:pt>
                <c:pt idx="1">
                  <c:v>5192250</c:v>
                </c:pt>
                <c:pt idx="2">
                  <c:v>2084250</c:v>
                </c:pt>
                <c:pt idx="3">
                  <c:v>1097600</c:v>
                </c:pt>
                <c:pt idx="4">
                  <c:v>734750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B-4245-AA8E-AFA9947F5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70205119"/>
        <c:axId val="43648607"/>
      </c:barChart>
      <c:lineChart>
        <c:grouping val="stacked"/>
        <c:varyColors val="0"/>
        <c:ser>
          <c:idx val="0"/>
          <c:order val="0"/>
          <c:tx>
            <c:strRef>
              <c:f>Analysis!$O$3</c:f>
              <c:strCache>
                <c:ptCount val="1"/>
                <c:pt idx="0">
                  <c:v>Count of OrderID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Analysis!$N$4:$N$9</c:f>
              <c:strCache>
                <c:ptCount val="5"/>
                <c:pt idx="0">
                  <c:v>Premium Plan</c:v>
                </c:pt>
                <c:pt idx="1">
                  <c:v>Pro Plan</c:v>
                </c:pt>
                <c:pt idx="2">
                  <c:v>Starter Plan</c:v>
                </c:pt>
                <c:pt idx="3">
                  <c:v>Add-On: Support</c:v>
                </c:pt>
                <c:pt idx="4">
                  <c:v>Add-On: Storage</c:v>
                </c:pt>
              </c:strCache>
            </c:strRef>
          </c:cat>
          <c:val>
            <c:numRef>
              <c:f>Analysis!$O$4:$O$9</c:f>
              <c:numCache>
                <c:formatCode>General</c:formatCode>
                <c:ptCount val="5"/>
                <c:pt idx="0">
                  <c:v>95</c:v>
                </c:pt>
                <c:pt idx="1">
                  <c:v>88</c:v>
                </c:pt>
                <c:pt idx="2">
                  <c:v>94</c:v>
                </c:pt>
                <c:pt idx="3">
                  <c:v>87</c:v>
                </c:pt>
                <c:pt idx="4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EB-4245-AA8E-AFA9947F5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25455"/>
        <c:axId val="43683647"/>
      </c:lineChart>
      <c:catAx>
        <c:axId val="207020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48607"/>
        <c:crosses val="autoZero"/>
        <c:auto val="1"/>
        <c:lblAlgn val="ctr"/>
        <c:lblOffset val="100"/>
        <c:noMultiLvlLbl val="0"/>
      </c:catAx>
      <c:valAx>
        <c:axId val="4364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205119"/>
        <c:crosses val="autoZero"/>
        <c:crossBetween val="between"/>
      </c:valAx>
      <c:valAx>
        <c:axId val="43683647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25455"/>
        <c:crosses val="max"/>
        <c:crossBetween val="between"/>
      </c:valAx>
      <c:catAx>
        <c:axId val="474254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6836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[Marketing_data(AutoRecovered).xlsx]Analysis!PivotTable21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2026</a:t>
            </a:r>
            <a:r>
              <a:rPr lang="en-US" b="1" baseline="0"/>
              <a:t> Pulls Slightly Ahead of 2025 by August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Analysis!$E$42:$E$43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Analysis!$D$44:$D$51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Analysis!$E$44:$E$51</c:f>
              <c:numCache>
                <c:formatCode>General</c:formatCode>
                <c:ptCount val="8"/>
                <c:pt idx="0">
                  <c:v>1010450</c:v>
                </c:pt>
                <c:pt idx="1">
                  <c:v>1408450</c:v>
                </c:pt>
                <c:pt idx="2">
                  <c:v>2367800</c:v>
                </c:pt>
                <c:pt idx="3">
                  <c:v>3347300</c:v>
                </c:pt>
                <c:pt idx="4">
                  <c:v>4482300</c:v>
                </c:pt>
                <c:pt idx="5">
                  <c:v>5353350</c:v>
                </c:pt>
                <c:pt idx="6">
                  <c:v>6384750</c:v>
                </c:pt>
                <c:pt idx="7">
                  <c:v>7391200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5-4F14-B01B-9157BEAB88F4}"/>
            </c:ext>
          </c:extLst>
        </c:ser>
        <c:ser>
          <c:idx val="1"/>
          <c:order val="1"/>
          <c:tx>
            <c:strRef>
              <c:f>Analysis!$F$42:$F$43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Analysis!$D$44:$D$51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Analysis!$F$44:$F$51</c:f>
              <c:numCache>
                <c:formatCode>General</c:formatCode>
                <c:ptCount val="8"/>
                <c:pt idx="0">
                  <c:v>1429500</c:v>
                </c:pt>
                <c:pt idx="1">
                  <c:v>2202400</c:v>
                </c:pt>
                <c:pt idx="2">
                  <c:v>3212650</c:v>
                </c:pt>
                <c:pt idx="3">
                  <c:v>3959750</c:v>
                </c:pt>
                <c:pt idx="4">
                  <c:v>5159800</c:v>
                </c:pt>
                <c:pt idx="5">
                  <c:v>6012050</c:v>
                </c:pt>
                <c:pt idx="6">
                  <c:v>6399300</c:v>
                </c:pt>
                <c:pt idx="7">
                  <c:v>7521600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F5-4F14-B01B-9157BEAB8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252127"/>
        <c:axId val="1921813567"/>
      </c:barChart>
      <c:catAx>
        <c:axId val="8425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13567"/>
        <c:crosses val="autoZero"/>
        <c:auto val="1"/>
        <c:lblAlgn val="ctr"/>
        <c:lblOffset val="100"/>
        <c:noMultiLvlLbl val="0"/>
      </c:catAx>
      <c:valAx>
        <c:axId val="192181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5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11207</xdr:colOff>
      <xdr:row>0</xdr:row>
      <xdr:rowOff>0</xdr:rowOff>
    </xdr:from>
    <xdr:to>
      <xdr:col>24</xdr:col>
      <xdr:colOff>168088</xdr:colOff>
      <xdr:row>42</xdr:row>
      <xdr:rowOff>78440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06C93ACA-456F-D593-FFFC-869218F01486}"/>
            </a:ext>
          </a:extLst>
        </xdr:cNvPr>
        <xdr:cNvGrpSpPr/>
      </xdr:nvGrpSpPr>
      <xdr:grpSpPr>
        <a:xfrm>
          <a:off x="11207" y="0"/>
          <a:ext cx="14668499" cy="8079440"/>
          <a:chOff x="11207" y="0"/>
          <a:chExt cx="14836588" cy="8079440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1193F3D6-98C9-AF7B-1976-44CB6A5133AD}"/>
              </a:ext>
            </a:extLst>
          </xdr:cNvPr>
          <xdr:cNvSpPr/>
        </xdr:nvSpPr>
        <xdr:spPr>
          <a:xfrm>
            <a:off x="11207" y="0"/>
            <a:ext cx="14836588" cy="8079440"/>
          </a:xfrm>
          <a:prstGeom prst="roundRect">
            <a:avLst>
              <a:gd name="adj" fmla="val 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A781D566-7E95-15ED-EF81-77E3A4E97011}"/>
              </a:ext>
            </a:extLst>
          </xdr:cNvPr>
          <xdr:cNvSpPr/>
        </xdr:nvSpPr>
        <xdr:spPr>
          <a:xfrm>
            <a:off x="282389" y="142875"/>
            <a:ext cx="13949081" cy="792536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Rectangle: Top Corners Snipped 2">
            <a:extLst>
              <a:ext uri="{FF2B5EF4-FFF2-40B4-BE49-F238E27FC236}">
                <a16:creationId xmlns:a16="http://schemas.microsoft.com/office/drawing/2014/main" id="{FB0BF7C9-99C4-3379-CFAF-9C257E6BF071}"/>
              </a:ext>
            </a:extLst>
          </xdr:cNvPr>
          <xdr:cNvSpPr/>
        </xdr:nvSpPr>
        <xdr:spPr>
          <a:xfrm rot="10800000">
            <a:off x="1248331" y="0"/>
            <a:ext cx="12120285" cy="481852"/>
          </a:xfrm>
          <a:prstGeom prst="snip2SameRect">
            <a:avLst>
              <a:gd name="adj1" fmla="val 50000"/>
              <a:gd name="adj2" fmla="val 0"/>
            </a:avLst>
          </a:pr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4C566A7E-C196-89DF-785C-B6C5AF70C827}"/>
              </a:ext>
            </a:extLst>
          </xdr:cNvPr>
          <xdr:cNvSpPr txBox="1"/>
        </xdr:nvSpPr>
        <xdr:spPr>
          <a:xfrm>
            <a:off x="1624853" y="750794"/>
            <a:ext cx="18473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endParaRPr lang="en-US" sz="1100"/>
          </a:p>
        </xdr:txBody>
      </xdr: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37EF789D-65F8-FAA8-47F4-08A72181A832}"/>
              </a:ext>
            </a:extLst>
          </xdr:cNvPr>
          <xdr:cNvGrpSpPr/>
        </xdr:nvGrpSpPr>
        <xdr:grpSpPr>
          <a:xfrm>
            <a:off x="683560" y="661147"/>
            <a:ext cx="2386853" cy="1008529"/>
            <a:chOff x="683560" y="661147"/>
            <a:chExt cx="2386853" cy="1008529"/>
          </a:xfrm>
        </xdr:grpSpPr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C699FF12-7B80-C6DB-B59A-355AEDAD32E0}"/>
                </a:ext>
              </a:extLst>
            </xdr:cNvPr>
            <xdr:cNvSpPr/>
          </xdr:nvSpPr>
          <xdr:spPr>
            <a:xfrm>
              <a:off x="694765" y="661147"/>
              <a:ext cx="2252382" cy="1008529"/>
            </a:xfrm>
            <a:prstGeom prst="rect">
              <a:avLst/>
            </a:prstGeom>
            <a:solidFill>
              <a:schemeClr val="bg1"/>
            </a:solidFill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400"/>
            </a:p>
          </xdr:txBody>
        </xdr:sp>
        <xdr:sp macro="" textlink="Analysis!D33">
          <xdr:nvSpPr>
            <xdr:cNvPr id="14" name="TextBox 13">
              <a:extLst>
                <a:ext uri="{FF2B5EF4-FFF2-40B4-BE49-F238E27FC236}">
                  <a16:creationId xmlns:a16="http://schemas.microsoft.com/office/drawing/2014/main" id="{77E26928-7E19-0B33-5D03-D9B9ECDAE942}"/>
                </a:ext>
              </a:extLst>
            </xdr:cNvPr>
            <xdr:cNvSpPr txBox="1"/>
          </xdr:nvSpPr>
          <xdr:spPr>
            <a:xfrm>
              <a:off x="1075766" y="1019736"/>
              <a:ext cx="1804146" cy="53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fld id="{D9AAF02D-7552-4A73-B622-E8A9104AB747}" type="TxLink">
                <a:rPr lang="en-US" sz="22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r"/>
                <a:t>₦18,179,600</a:t>
              </a:fld>
              <a:endParaRPr lang="en-US" sz="2200" b="1"/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0A5C4E5-3321-E51C-8D5A-16DE514274AA}"/>
                </a:ext>
              </a:extLst>
            </xdr:cNvPr>
            <xdr:cNvSpPr txBox="1"/>
          </xdr:nvSpPr>
          <xdr:spPr>
            <a:xfrm>
              <a:off x="974913" y="683560"/>
              <a:ext cx="2095500" cy="3809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600" b="1"/>
                <a:t>TOTAL</a:t>
              </a:r>
              <a:r>
                <a:rPr lang="en-US" sz="2000" b="1"/>
                <a:t> </a:t>
              </a:r>
              <a:r>
                <a:rPr lang="en-US" sz="1600" b="1"/>
                <a:t>REVENUE</a:t>
              </a:r>
              <a:endParaRPr lang="en-US" sz="2000" b="1"/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98DCDF4-528E-07B5-CBDB-4504468A3F90}"/>
                </a:ext>
              </a:extLst>
            </xdr:cNvPr>
            <xdr:cNvSpPr txBox="1"/>
          </xdr:nvSpPr>
          <xdr:spPr>
            <a:xfrm>
              <a:off x="683560" y="818029"/>
              <a:ext cx="728381" cy="75079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2800"/>
                <a:t>📊</a:t>
              </a:r>
            </a:p>
          </xdr:txBody>
        </xdr:sp>
      </xdr:grp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24FA35FE-7F2F-FABD-5917-0006482746BB}"/>
              </a:ext>
            </a:extLst>
          </xdr:cNvPr>
          <xdr:cNvGrpSpPr/>
        </xdr:nvGrpSpPr>
        <xdr:grpSpPr>
          <a:xfrm>
            <a:off x="3346077" y="667870"/>
            <a:ext cx="2386853" cy="1008529"/>
            <a:chOff x="683560" y="661147"/>
            <a:chExt cx="2386853" cy="1008529"/>
          </a:xfrm>
        </xdr:grpSpPr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E3EA6ABF-2ED4-519D-EB30-42A7F96E34C3}"/>
                </a:ext>
              </a:extLst>
            </xdr:cNvPr>
            <xdr:cNvSpPr/>
          </xdr:nvSpPr>
          <xdr:spPr>
            <a:xfrm>
              <a:off x="694765" y="661147"/>
              <a:ext cx="2252382" cy="1008529"/>
            </a:xfrm>
            <a:prstGeom prst="rect">
              <a:avLst/>
            </a:prstGeom>
            <a:solidFill>
              <a:schemeClr val="bg1"/>
            </a:solidFill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400"/>
            </a:p>
          </xdr:txBody>
        </xdr:sp>
        <xdr:sp macro="" textlink="Analysis!A33">
          <xdr:nvSpPr>
            <xdr:cNvPr id="22" name="TextBox 21">
              <a:extLst>
                <a:ext uri="{FF2B5EF4-FFF2-40B4-BE49-F238E27FC236}">
                  <a16:creationId xmlns:a16="http://schemas.microsoft.com/office/drawing/2014/main" id="{0A29FEDF-4278-EC55-A391-45B600476DF2}"/>
                </a:ext>
              </a:extLst>
            </xdr:cNvPr>
            <xdr:cNvSpPr txBox="1"/>
          </xdr:nvSpPr>
          <xdr:spPr>
            <a:xfrm>
              <a:off x="1075766" y="1019736"/>
              <a:ext cx="1804146" cy="53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893A8749-6555-44D7-A752-42CE00A6F45C}" type="TxLink">
                <a:rPr lang="en-US" sz="22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450</a:t>
              </a:fld>
              <a:endParaRPr lang="en-US" sz="2200" b="1"/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ECF78803-BD14-7056-70F1-14B4504A645E}"/>
                </a:ext>
              </a:extLst>
            </xdr:cNvPr>
            <xdr:cNvSpPr txBox="1"/>
          </xdr:nvSpPr>
          <xdr:spPr>
            <a:xfrm>
              <a:off x="974913" y="683560"/>
              <a:ext cx="2095500" cy="36307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600" b="1"/>
                <a:t>TOTAL</a:t>
              </a:r>
              <a:r>
                <a:rPr lang="en-US" sz="2000" b="1"/>
                <a:t> </a:t>
              </a:r>
              <a:r>
                <a:rPr lang="en-US" sz="1600" b="1"/>
                <a:t>ORDERS</a:t>
              </a:r>
              <a:endParaRPr lang="en-US" sz="2000" b="1"/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6D88D3A-A26A-3914-8F60-BB89F277CD25}"/>
                </a:ext>
              </a:extLst>
            </xdr:cNvPr>
            <xdr:cNvSpPr txBox="1"/>
          </xdr:nvSpPr>
          <xdr:spPr>
            <a:xfrm>
              <a:off x="683560" y="818029"/>
              <a:ext cx="728381" cy="75079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2800"/>
                <a:t>🛒</a:t>
              </a:r>
            </a:p>
          </xdr:txBody>
        </xdr:sp>
      </xdr:grpSp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8C563C61-C413-57F8-AC8F-373FA12CCA88}"/>
              </a:ext>
            </a:extLst>
          </xdr:cNvPr>
          <xdr:cNvGrpSpPr/>
        </xdr:nvGrpSpPr>
        <xdr:grpSpPr>
          <a:xfrm>
            <a:off x="8659907" y="658906"/>
            <a:ext cx="2386853" cy="1008529"/>
            <a:chOff x="683560" y="661147"/>
            <a:chExt cx="2386853" cy="1008529"/>
          </a:xfrm>
        </xdr:grpSpPr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A04D5FC8-DA85-39F7-0587-AC0020F332CC}"/>
                </a:ext>
              </a:extLst>
            </xdr:cNvPr>
            <xdr:cNvSpPr/>
          </xdr:nvSpPr>
          <xdr:spPr>
            <a:xfrm>
              <a:off x="694765" y="661147"/>
              <a:ext cx="2252382" cy="1008529"/>
            </a:xfrm>
            <a:prstGeom prst="rect">
              <a:avLst/>
            </a:prstGeom>
            <a:solidFill>
              <a:schemeClr val="bg1"/>
            </a:solidFill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400"/>
            </a:p>
          </xdr:txBody>
        </xdr:sp>
        <xdr:sp macro="" textlink="Analysis!C33">
          <xdr:nvSpPr>
            <xdr:cNvPr id="32" name="TextBox 31">
              <a:extLst>
                <a:ext uri="{FF2B5EF4-FFF2-40B4-BE49-F238E27FC236}">
                  <a16:creationId xmlns:a16="http://schemas.microsoft.com/office/drawing/2014/main" id="{F4D40A4C-69EF-88EB-094D-17C54C3BC2E6}"/>
                </a:ext>
              </a:extLst>
            </xdr:cNvPr>
            <xdr:cNvSpPr txBox="1"/>
          </xdr:nvSpPr>
          <xdr:spPr>
            <a:xfrm>
              <a:off x="1098178" y="1019736"/>
              <a:ext cx="1804146" cy="53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51CF0B56-B285-4F62-A71F-4FD4DBAED66F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₦573,456</a:t>
              </a:fld>
              <a:endParaRPr lang="en-US" sz="4400" b="1"/>
            </a:p>
          </xdr:txBody>
        </xdr: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CD18ED0-E4BC-B8EB-8E1C-741CCCAA79F3}"/>
                </a:ext>
              </a:extLst>
            </xdr:cNvPr>
            <xdr:cNvSpPr txBox="1"/>
          </xdr:nvSpPr>
          <xdr:spPr>
            <a:xfrm>
              <a:off x="974913" y="683560"/>
              <a:ext cx="2095500" cy="34962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600" b="1"/>
                <a:t>TOTAL</a:t>
              </a:r>
              <a:r>
                <a:rPr lang="en-US" sz="2000" b="1"/>
                <a:t> </a:t>
              </a:r>
              <a:r>
                <a:rPr lang="en-US" sz="1600" b="1"/>
                <a:t>ADSPEND</a:t>
              </a:r>
              <a:endParaRPr lang="en-US" sz="2000" b="1"/>
            </a:p>
          </xdr:txBody>
        </xdr:sp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FDCF0BA7-A76C-E5B3-9E23-7D06F659FD4E}"/>
                </a:ext>
              </a:extLst>
            </xdr:cNvPr>
            <xdr:cNvSpPr txBox="1"/>
          </xdr:nvSpPr>
          <xdr:spPr>
            <a:xfrm>
              <a:off x="683560" y="818029"/>
              <a:ext cx="728381" cy="75079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2400"/>
                <a:t>📊</a:t>
              </a:r>
            </a:p>
          </xdr:txBody>
        </xdr:sp>
      </xdr:grpSp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897BA558-AB02-91B1-4C5E-E5C5CB592B1E}"/>
              </a:ext>
            </a:extLst>
          </xdr:cNvPr>
          <xdr:cNvGrpSpPr/>
        </xdr:nvGrpSpPr>
        <xdr:grpSpPr>
          <a:xfrm>
            <a:off x="11344837" y="620806"/>
            <a:ext cx="2386853" cy="1008529"/>
            <a:chOff x="683560" y="661147"/>
            <a:chExt cx="2386853" cy="1008529"/>
          </a:xfrm>
        </xdr:grpSpPr>
        <xdr:sp macro="" textlink="">
          <xdr:nvSpPr>
            <xdr:cNvPr id="36" name="Rectangle 35">
              <a:extLst>
                <a:ext uri="{FF2B5EF4-FFF2-40B4-BE49-F238E27FC236}">
                  <a16:creationId xmlns:a16="http://schemas.microsoft.com/office/drawing/2014/main" id="{DB244536-2BC0-2A13-B415-EF582551CA45}"/>
                </a:ext>
              </a:extLst>
            </xdr:cNvPr>
            <xdr:cNvSpPr/>
          </xdr:nvSpPr>
          <xdr:spPr>
            <a:xfrm>
              <a:off x="694765" y="661147"/>
              <a:ext cx="2252382" cy="1008529"/>
            </a:xfrm>
            <a:prstGeom prst="rect">
              <a:avLst/>
            </a:prstGeom>
            <a:solidFill>
              <a:schemeClr val="bg1"/>
            </a:solidFill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400"/>
            </a:p>
          </xdr:txBody>
        </xdr:sp>
        <xdr:sp macro="" textlink="Analysis!E33">
          <xdr:nvSpPr>
            <xdr:cNvPr id="37" name="TextBox 36">
              <a:extLst>
                <a:ext uri="{FF2B5EF4-FFF2-40B4-BE49-F238E27FC236}">
                  <a16:creationId xmlns:a16="http://schemas.microsoft.com/office/drawing/2014/main" id="{9344A326-7990-AEE7-AE30-3C41FBE797B0}"/>
                </a:ext>
              </a:extLst>
            </xdr:cNvPr>
            <xdr:cNvSpPr txBox="1"/>
          </xdr:nvSpPr>
          <xdr:spPr>
            <a:xfrm>
              <a:off x="1131796" y="1019736"/>
              <a:ext cx="1804146" cy="53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636D0A29-71B1-42A2-ADF7-09D413A8E04A}" type="TxLink">
                <a:rPr lang="en-US" sz="28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₦40,399</a:t>
              </a:fld>
              <a:endParaRPr lang="en-US" sz="4800" b="1"/>
            </a:p>
          </xdr:txBody>
        </xdr: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CDC41C2B-38C0-7922-DFB9-0DACF34ECE4F}"/>
                </a:ext>
              </a:extLst>
            </xdr:cNvPr>
            <xdr:cNvSpPr txBox="1"/>
          </xdr:nvSpPr>
          <xdr:spPr>
            <a:xfrm>
              <a:off x="974913" y="717178"/>
              <a:ext cx="2095500" cy="41013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600" b="1"/>
                <a:t>AVERAGE</a:t>
              </a:r>
              <a:r>
                <a:rPr lang="en-US" sz="1600" b="1" baseline="0"/>
                <a:t> ORDER</a:t>
              </a:r>
              <a:endParaRPr lang="en-US" sz="1600" b="1"/>
            </a:p>
          </xdr:txBody>
        </xdr:sp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EC7ED888-CA5E-0024-C78C-BE2F86EC9C02}"/>
                </a:ext>
              </a:extLst>
            </xdr:cNvPr>
            <xdr:cNvSpPr txBox="1"/>
          </xdr:nvSpPr>
          <xdr:spPr>
            <a:xfrm>
              <a:off x="683560" y="818029"/>
              <a:ext cx="728381" cy="75079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2400"/>
                <a:t>📊</a:t>
              </a:r>
            </a:p>
          </xdr:txBody>
        </xdr:sp>
      </xdr:grpSp>
      <xdr:graphicFrame macro="">
        <xdr:nvGraphicFramePr>
          <xdr:cNvPr id="41" name="Chart 40">
            <a:extLst>
              <a:ext uri="{FF2B5EF4-FFF2-40B4-BE49-F238E27FC236}">
                <a16:creationId xmlns:a16="http://schemas.microsoft.com/office/drawing/2014/main" id="{757F3F64-4119-4ADA-8B89-44125E199BDE}"/>
              </a:ext>
            </a:extLst>
          </xdr:cNvPr>
          <xdr:cNvGraphicFramePr>
            <a:graphicFrameLocks/>
          </xdr:cNvGraphicFramePr>
        </xdr:nvGraphicFramePr>
        <xdr:xfrm>
          <a:off x="708211" y="1879787"/>
          <a:ext cx="3617260" cy="21431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13E2C64A-9AA0-8276-4138-16E1B250B139}"/>
              </a:ext>
            </a:extLst>
          </xdr:cNvPr>
          <xdr:cNvSpPr txBox="1"/>
        </xdr:nvSpPr>
        <xdr:spPr>
          <a:xfrm>
            <a:off x="1658471" y="33617"/>
            <a:ext cx="10768853" cy="448236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400" b="1">
                <a:solidFill>
                  <a:schemeClr val="bg1"/>
                </a:solidFill>
                <a:latin typeface="Arial Rounded MT Bold" panose="020F0704030504030204" pitchFamily="34" charset="0"/>
              </a:rPr>
              <a:t>Sales &amp; Marketing Performance Analysis</a:t>
            </a:r>
          </a:p>
        </xdr:txBody>
      </xdr:sp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6FCDB9AA-B918-4B75-ADA5-5A2EC0E1E587}"/>
              </a:ext>
            </a:extLst>
          </xdr:cNvPr>
          <xdr:cNvGraphicFramePr>
            <a:graphicFrameLocks/>
          </xdr:cNvGraphicFramePr>
        </xdr:nvGraphicFramePr>
        <xdr:xfrm>
          <a:off x="4876802" y="1935816"/>
          <a:ext cx="4009463" cy="20870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D25F0D4-38CF-4349-AC1E-393EFCA9CD31}"/>
              </a:ext>
            </a:extLst>
          </xdr:cNvPr>
          <xdr:cNvGraphicFramePr>
            <a:graphicFrameLocks/>
          </xdr:cNvGraphicFramePr>
        </xdr:nvGraphicFramePr>
        <xdr:xfrm>
          <a:off x="9415183" y="1935816"/>
          <a:ext cx="4255994" cy="206468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2F55D758-C63A-4EFB-BAEF-2BA091026C0A}"/>
              </a:ext>
            </a:extLst>
          </xdr:cNvPr>
          <xdr:cNvGraphicFramePr>
            <a:graphicFrameLocks/>
          </xdr:cNvGraphicFramePr>
        </xdr:nvGraphicFramePr>
        <xdr:xfrm>
          <a:off x="842681" y="4199405"/>
          <a:ext cx="5667937" cy="27706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3C977F07-9EE6-45DD-B6CF-4849E6635537}"/>
              </a:ext>
            </a:extLst>
          </xdr:cNvPr>
          <xdr:cNvGraphicFramePr>
            <a:graphicFrameLocks/>
          </xdr:cNvGraphicFramePr>
        </xdr:nvGraphicFramePr>
        <xdr:xfrm>
          <a:off x="7507941" y="4199404"/>
          <a:ext cx="5199529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7BFDF39-E442-405E-86FA-36D8A7EB57B5}"/>
              </a:ext>
            </a:extLst>
          </xdr:cNvPr>
          <xdr:cNvGrpSpPr/>
        </xdr:nvGrpSpPr>
        <xdr:grpSpPr>
          <a:xfrm>
            <a:off x="5974977" y="669552"/>
            <a:ext cx="2386853" cy="1008529"/>
            <a:chOff x="683560" y="661147"/>
            <a:chExt cx="2386853" cy="1008529"/>
          </a:xfrm>
        </xdr:grpSpPr>
        <xdr:sp macro="" textlink="">
          <xdr:nvSpPr>
            <xdr:cNvPr id="44" name="Rectangle 43">
              <a:extLst>
                <a:ext uri="{FF2B5EF4-FFF2-40B4-BE49-F238E27FC236}">
                  <a16:creationId xmlns:a16="http://schemas.microsoft.com/office/drawing/2014/main" id="{2CD15D8B-6DC9-A9A8-83E1-7CBEDF898205}"/>
                </a:ext>
              </a:extLst>
            </xdr:cNvPr>
            <xdr:cNvSpPr/>
          </xdr:nvSpPr>
          <xdr:spPr>
            <a:xfrm>
              <a:off x="694765" y="661147"/>
              <a:ext cx="2252382" cy="1008529"/>
            </a:xfrm>
            <a:prstGeom prst="rect">
              <a:avLst/>
            </a:prstGeom>
            <a:solidFill>
              <a:schemeClr val="bg1"/>
            </a:solidFill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400"/>
            </a:p>
          </xdr:txBody>
        </xdr:sp>
        <xdr:sp macro="" textlink="Analysis!F33">
          <xdr:nvSpPr>
            <xdr:cNvPr id="45" name="TextBox 44">
              <a:extLst>
                <a:ext uri="{FF2B5EF4-FFF2-40B4-BE49-F238E27FC236}">
                  <a16:creationId xmlns:a16="http://schemas.microsoft.com/office/drawing/2014/main" id="{9CAE9734-54FC-3A1E-41AE-C2C1F8380A2C}"/>
                </a:ext>
              </a:extLst>
            </xdr:cNvPr>
            <xdr:cNvSpPr txBox="1"/>
          </xdr:nvSpPr>
          <xdr:spPr>
            <a:xfrm>
              <a:off x="1131796" y="1019736"/>
              <a:ext cx="1804146" cy="53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7F2375ED-A8C6-4A16-A2A5-397899A7BD78}" type="TxLink">
                <a:rPr lang="en-US" sz="28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31.70x</a:t>
              </a:fld>
              <a:endParaRPr lang="en-US" sz="9600" b="1"/>
            </a:p>
          </xdr:txBody>
        </xdr: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B2E34592-47C7-D478-6F40-DE7379F23740}"/>
                </a:ext>
              </a:extLst>
            </xdr:cNvPr>
            <xdr:cNvSpPr txBox="1"/>
          </xdr:nvSpPr>
          <xdr:spPr>
            <a:xfrm>
              <a:off x="974913" y="717178"/>
              <a:ext cx="2095500" cy="41013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600" b="1"/>
                <a:t>OVERALL</a:t>
              </a:r>
              <a:r>
                <a:rPr lang="en-US" sz="1600" b="1" baseline="0"/>
                <a:t> ROAS</a:t>
              </a:r>
              <a:endParaRPr lang="en-US" sz="1600" b="1"/>
            </a:p>
          </xdr:txBody>
        </xdr:sp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DD8D7070-1D73-C920-5EFB-C9052A92CFF6}"/>
                </a:ext>
              </a:extLst>
            </xdr:cNvPr>
            <xdr:cNvSpPr txBox="1"/>
          </xdr:nvSpPr>
          <xdr:spPr>
            <a:xfrm>
              <a:off x="683560" y="818029"/>
              <a:ext cx="728381" cy="75079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2800"/>
                <a:t>📈</a:t>
              </a:r>
            </a:p>
          </xdr:txBody>
        </xdr:sp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0.669043055554" createdVersion="8" refreshedVersion="8" minRefreshableVersion="3" recordCount="450" xr:uid="{542CBB1B-7749-41A8-A941-0AFC49085E37}">
  <cacheSource type="worksheet">
    <worksheetSource name="Table1"/>
  </cacheSource>
  <cacheFields count="19">
    <cacheField name="OrderID" numFmtId="0">
      <sharedItems/>
    </cacheField>
    <cacheField name="Order count" numFmtId="0">
      <sharedItems containsSemiMixedTypes="0" containsString="0" containsNumber="1" containsInteger="1" minValue="1" maxValue="1"/>
    </cacheField>
    <cacheField name="OrderDate" numFmtId="164">
      <sharedItems containsSemiMixedTypes="0" containsNonDate="0" containsDate="1" containsString="0" minDate="2025-01-04T00:00:00" maxDate="2026-09-03T00:00:00" count="324">
        <d v="2025-01-04T00:00:00"/>
        <d v="2025-01-06T00:00:00"/>
        <d v="2025-01-11T00:00:00"/>
        <d v="2025-01-12T00:00:00"/>
        <d v="2025-01-16T00:00:00"/>
        <d v="2025-01-17T00:00:00"/>
        <d v="2025-01-18T00:00:00"/>
        <d v="2025-01-19T00:00:00"/>
        <d v="2025-01-20T00:00:00"/>
        <d v="2025-01-21T00:00:00"/>
        <d v="2025-01-23T00:00:00"/>
        <d v="2025-01-24T00:00:00"/>
        <d v="2025-01-28T00:00:00"/>
        <d v="2025-01-31T00:00:00"/>
        <d v="2025-02-01T00:00:00"/>
        <d v="2025-02-02T00:00:00"/>
        <d v="2025-02-05T00:00:00"/>
        <d v="2025-02-10T00:00:00"/>
        <d v="2025-02-11T00:00:00"/>
        <d v="2025-02-12T00:00:00"/>
        <d v="2025-02-15T00:00:00"/>
        <d v="2025-02-16T00:00:00"/>
        <d v="2025-02-18T00:00:00"/>
        <d v="2025-02-25T00:00:00"/>
        <d v="2025-02-26T00:00:00"/>
        <d v="2025-02-28T00:00:00"/>
        <d v="2025-03-01T00:00:00"/>
        <d v="2025-03-04T00:00:00"/>
        <d v="2025-03-05T00:00:00"/>
        <d v="2025-03-06T00:00:00"/>
        <d v="2025-03-07T00:00:00"/>
        <d v="2025-03-08T00:00:00"/>
        <d v="2025-03-10T00:00:00"/>
        <d v="2025-03-12T00:00:00"/>
        <d v="2025-03-15T00:00:00"/>
        <d v="2025-03-16T00:00:00"/>
        <d v="2025-03-18T00:00:00"/>
        <d v="2025-03-19T00:00:00"/>
        <d v="2025-03-20T00:00:00"/>
        <d v="2025-03-25T00:00:00"/>
        <d v="2025-03-30T00:00:00"/>
        <d v="2025-04-04T00:00:00"/>
        <d v="2025-04-08T00:00:00"/>
        <d v="2025-04-10T00:00:00"/>
        <d v="2025-04-11T00:00:00"/>
        <d v="2025-04-12T00:00:00"/>
        <d v="2025-04-13T00:00:00"/>
        <d v="2025-04-16T00:00:00"/>
        <d v="2025-04-18T00:00:00"/>
        <d v="2025-04-19T00:00:00"/>
        <d v="2025-04-20T00:00:00"/>
        <d v="2025-04-23T00:00:00"/>
        <d v="2025-04-26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7T00:00:00"/>
        <d v="2025-05-09T00:00:00"/>
        <d v="2025-05-12T00:00:00"/>
        <d v="2025-05-13T00:00:00"/>
        <d v="2025-05-16T00:00:00"/>
        <d v="2025-05-18T00:00:00"/>
        <d v="2025-05-22T00:00:00"/>
        <d v="2025-05-24T00:00:00"/>
        <d v="2025-05-25T00:00:00"/>
        <d v="2025-05-27T00:00:00"/>
        <d v="2025-05-30T00:00:00"/>
        <d v="2025-06-05T00:00:00"/>
        <d v="2025-06-07T00:00:00"/>
        <d v="2025-06-08T00:00:00"/>
        <d v="2025-06-09T00:00:00"/>
        <d v="2025-06-10T00:00:00"/>
        <d v="2025-06-11T00:00:00"/>
        <d v="2025-06-13T00:00:00"/>
        <d v="2025-06-16T00:00:00"/>
        <d v="2025-06-17T00:00:00"/>
        <d v="2025-06-18T00:00:00"/>
        <d v="2025-06-21T00:00:00"/>
        <d v="2025-06-22T00:00:00"/>
        <d v="2025-06-27T00:00:00"/>
        <d v="2025-07-02T00:00:00"/>
        <d v="2025-07-03T00:00:00"/>
        <d v="2025-07-04T00:00:00"/>
        <d v="2025-07-06T00:00:00"/>
        <d v="2025-07-07T00:00:00"/>
        <d v="2025-07-08T00:00:00"/>
        <d v="2025-07-09T00:00:00"/>
        <d v="2025-07-12T00:00:00"/>
        <d v="2025-07-13T00:00:00"/>
        <d v="2025-07-14T00:00:00"/>
        <d v="2025-07-17T00:00:00"/>
        <d v="2025-07-19T00:00:00"/>
        <d v="2025-07-21T00:00:00"/>
        <d v="2025-07-22T00:00:00"/>
        <d v="2025-07-25T00:00:00"/>
        <d v="2025-07-29T00:00:00"/>
        <d v="2025-07-31T00:00:00"/>
        <d v="2025-08-01T00:00:00"/>
        <d v="2025-08-05T00:00:00"/>
        <d v="2025-08-06T00:00:00"/>
        <d v="2025-08-07T00:00:00"/>
        <d v="2025-08-09T00:00:00"/>
        <d v="2025-08-10T00:00:00"/>
        <d v="2025-08-12T00:00:00"/>
        <d v="2025-08-13T00:00:00"/>
        <d v="2025-08-14T00:00:00"/>
        <d v="2025-08-16T00:00:00"/>
        <d v="2025-08-17T00:00:00"/>
        <d v="2025-08-18T00:00:00"/>
        <d v="2025-08-20T00:00:00"/>
        <d v="2025-08-21T00:00:00"/>
        <d v="2025-08-24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6T00:00:00"/>
        <d v="2025-09-07T00:00:00"/>
        <d v="2025-09-08T00:00:00"/>
        <d v="2025-09-10T00:00:00"/>
        <d v="2025-09-13T00:00:00"/>
        <d v="2025-09-14T00:00:00"/>
        <d v="2025-09-15T00:00:00"/>
        <d v="2025-09-17T00:00:00"/>
        <d v="2025-09-18T00:00:00"/>
        <d v="2025-09-20T00:00:00"/>
        <d v="2025-09-22T00:00:00"/>
        <d v="2025-09-24T00:00:00"/>
        <d v="2025-09-25T00:00:00"/>
        <d v="2025-09-26T00:00:00"/>
        <d v="2025-09-29T00:00:00"/>
        <d v="2025-09-30T00:00:00"/>
        <d v="2025-10-02T00:00:00"/>
        <d v="2025-10-09T00:00:00"/>
        <d v="2025-10-12T00:00:00"/>
        <d v="2025-10-16T00:00:00"/>
        <d v="2025-10-17T00:00:00"/>
        <d v="2025-10-18T00:00:00"/>
        <d v="2025-10-23T00:00:00"/>
        <d v="2025-10-26T00:00:00"/>
        <d v="2025-10-28T00:00:00"/>
        <d v="2025-10-31T00:00:00"/>
        <d v="2025-11-01T00:00:00"/>
        <d v="2025-11-02T00:00:00"/>
        <d v="2025-11-03T00:00:00"/>
        <d v="2025-11-04T00:00:00"/>
        <d v="2025-11-07T00:00:00"/>
        <d v="2025-11-08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5T00:00:00"/>
        <d v="2025-11-26T00:00:00"/>
        <d v="2025-11-27T00:00:00"/>
        <d v="2025-11-29T00:00:00"/>
        <d v="2025-12-01T00:00:00"/>
        <d v="2025-12-03T00:00:00"/>
        <d v="2025-12-05T00:00:00"/>
        <d v="2025-12-10T00:00:00"/>
        <d v="2025-12-11T00:00:00"/>
        <d v="2025-12-17T00:00:00"/>
        <d v="2025-12-18T00:00:00"/>
        <d v="2025-12-19T00:00:00"/>
        <d v="2025-12-22T00:00:00"/>
        <d v="2025-12-23T00:00:00"/>
        <d v="2025-12-25T00:00:00"/>
        <d v="2025-12-28T00:00:00"/>
        <d v="2026-01-01T00:00:00"/>
        <d v="2026-01-03T00:00:00"/>
        <d v="2026-01-04T00:00:00"/>
        <d v="2026-01-07T00:00:00"/>
        <d v="2026-01-08T00:00:00"/>
        <d v="2026-01-09T00:00:00"/>
        <d v="2026-01-11T00:00:00"/>
        <d v="2026-01-13T00:00:00"/>
        <d v="2026-01-14T00:00:00"/>
        <d v="2026-01-15T00:00:00"/>
        <d v="2026-01-16T00:00:00"/>
        <d v="2026-01-17T00:00:00"/>
        <d v="2026-01-18T00:00:00"/>
        <d v="2026-01-21T00:00:00"/>
        <d v="2026-01-23T00:00:00"/>
        <d v="2026-01-24T00:00:00"/>
        <d v="2026-01-27T00:00:00"/>
        <d v="2026-01-29T00:00:00"/>
        <d v="2026-01-30T00:00:00"/>
        <d v="2026-01-31T00:00:00"/>
        <d v="2026-02-04T00:00:00"/>
        <d v="2026-02-06T00:00:00"/>
        <d v="2026-02-08T00:00:00"/>
        <d v="2026-02-10T00:00:00"/>
        <d v="2026-02-12T00:00:00"/>
        <d v="2026-02-13T00:00:00"/>
        <d v="2026-02-14T00:00:00"/>
        <d v="2026-02-15T00:00:00"/>
        <d v="2026-02-16T00:00:00"/>
        <d v="2026-02-17T00:00:00"/>
        <d v="2026-02-19T00:00:00"/>
        <d v="2026-02-20T00:00:00"/>
        <d v="2026-02-21T00:00:00"/>
        <d v="2026-02-22T00:00:00"/>
        <d v="2026-02-28T00:00:00"/>
        <d v="2026-03-01T00:00:00"/>
        <d v="2026-03-02T00:00:00"/>
        <d v="2026-03-03T00:00:00"/>
        <d v="2026-03-04T00:00:00"/>
        <d v="2026-03-06T00:00:00"/>
        <d v="2026-03-07T00:00:00"/>
        <d v="2026-03-08T00:00:00"/>
        <d v="2026-03-09T00:00:00"/>
        <d v="2026-03-12T00:00:00"/>
        <d v="2026-03-14T00:00:00"/>
        <d v="2026-03-16T00:00:00"/>
        <d v="2026-03-18T00:00:00"/>
        <d v="2026-03-20T00:00:00"/>
        <d v="2026-03-21T00:00:00"/>
        <d v="2026-03-22T00:00:00"/>
        <d v="2026-03-24T00:00:00"/>
        <d v="2026-03-25T00:00:00"/>
        <d v="2026-03-26T00:00:00"/>
        <d v="2026-03-27T00:00:00"/>
        <d v="2026-03-29T00:00:00"/>
        <d v="2026-04-03T00:00:00"/>
        <d v="2026-04-06T00:00:00"/>
        <d v="2026-04-07T00:00:00"/>
        <d v="2026-04-09T00:00:00"/>
        <d v="2026-04-10T00:00:00"/>
        <d v="2026-04-11T00:00:00"/>
        <d v="2026-04-12T00:00:00"/>
        <d v="2026-04-15T00:00:00"/>
        <d v="2026-04-19T00:00:00"/>
        <d v="2026-04-21T00:00:00"/>
        <d v="2026-04-22T00:00:00"/>
        <d v="2026-04-25T00:00:00"/>
        <d v="2026-04-26T00:00:00"/>
        <d v="2026-04-27T00:00:00"/>
        <d v="2026-04-28T00:00:00"/>
        <d v="2026-04-29T00:00:00"/>
        <d v="2026-05-01T00:00:00"/>
        <d v="2026-05-02T00:00:00"/>
        <d v="2026-05-03T00:00:00"/>
        <d v="2026-05-06T00:00:00"/>
        <d v="2026-05-09T00:00:00"/>
        <d v="2026-05-10T00:00:00"/>
        <d v="2026-05-12T00:00:00"/>
        <d v="2026-05-15T00:00:00"/>
        <d v="2026-05-16T00:00:00"/>
        <d v="2026-05-17T00:00:00"/>
        <d v="2026-05-20T00:00:00"/>
        <d v="2026-05-21T00:00:00"/>
        <d v="2026-05-22T00:00:00"/>
        <d v="2026-05-24T00:00:00"/>
        <d v="2026-05-26T00:00:00"/>
        <d v="2026-05-27T00:00:00"/>
        <d v="2026-05-28T00:00:00"/>
        <d v="2026-05-31T00:00:00"/>
        <d v="2026-06-01T00:00:00"/>
        <d v="2026-06-02T00:00:00"/>
        <d v="2026-06-06T00:00:00"/>
        <d v="2026-06-10T00:00:00"/>
        <d v="2026-06-11T00:00:00"/>
        <d v="2026-06-12T00:00:00"/>
        <d v="2026-06-13T00:00:00"/>
        <d v="2026-06-16T00:00:00"/>
        <d v="2026-06-17T00:00:00"/>
        <d v="2026-06-18T00:00:00"/>
        <d v="2026-06-19T00:00:00"/>
        <d v="2026-06-23T00:00:00"/>
        <d v="2026-06-25T00:00:00"/>
        <d v="2026-06-28T00:00:00"/>
        <d v="2026-06-29T00:00:00"/>
        <d v="2026-06-30T00:00:00"/>
        <d v="2026-07-02T00:00:00"/>
        <d v="2026-07-08T00:00:00"/>
        <d v="2026-07-11T00:00:00"/>
        <d v="2026-07-12T00:00:00"/>
        <d v="2026-07-13T00:00:00"/>
        <d v="2026-07-15T00:00:00"/>
        <d v="2026-07-16T00:00:00"/>
        <d v="2026-07-17T00:00:00"/>
        <d v="2026-07-18T00:00:00"/>
        <d v="2026-07-19T00:00:00"/>
        <d v="2026-07-20T00:00:00"/>
        <d v="2026-07-22T00:00:00"/>
        <d v="2026-07-23T00:00:00"/>
        <d v="2026-07-24T00:00:00"/>
        <d v="2026-07-26T00:00:00"/>
        <d v="2026-07-27T00:00:00"/>
        <d v="2026-07-28T00:00:00"/>
        <d v="2026-07-29T00:00:00"/>
        <d v="2026-08-02T00:00:00"/>
        <d v="2026-08-03T00:00:00"/>
        <d v="2026-08-04T00:00:00"/>
        <d v="2026-08-05T00:00:00"/>
        <d v="2026-08-06T00:00:00"/>
        <d v="2026-08-08T00:00:00"/>
        <d v="2026-08-12T00:00:00"/>
        <d v="2026-08-13T00:00:00"/>
        <d v="2026-08-16T00:00:00"/>
        <d v="2026-08-22T00:00:00"/>
        <d v="2026-08-23T00:00:00"/>
        <d v="2026-08-27T00:00:00"/>
        <d v="2026-08-28T00:00:00"/>
        <d v="2026-08-31T00:00:00"/>
        <d v="2026-09-02T00:00:00"/>
      </sharedItems>
      <fieldGroup par="18"/>
    </cacheField>
    <cacheField name="Region" numFmtId="0">
      <sharedItems count="8">
        <s v="Port Harcourt"/>
        <s v="Abuja"/>
        <s v="Kano"/>
        <s v="Lagos"/>
        <s v="Ibadan"/>
        <s v="Unknown"/>
        <s v="Lagos " u="1"/>
        <s v=" Ibadan" u="1"/>
      </sharedItems>
    </cacheField>
    <cacheField name="MarketingChannel" numFmtId="0">
      <sharedItems count="9">
        <s v="Tiktok"/>
        <s v="Facebook"/>
        <s v="Google Ads"/>
        <s v="Referral"/>
        <s v="Instagram"/>
        <s v="Email"/>
        <s v="Walk-In"/>
        <s v="Unknown-Paid"/>
        <s v="Unknown-Organic"/>
      </sharedItems>
    </cacheField>
    <cacheField name="SalesRep" numFmtId="0">
      <sharedItems/>
    </cacheField>
    <cacheField name="Product" numFmtId="0">
      <sharedItems count="5">
        <s v="Premium Plan"/>
        <s v="Starter Plan"/>
        <s v="Add-On: Support"/>
        <s v="Pro Plan"/>
        <s v="Add-On: Storage"/>
      </sharedItems>
    </cacheField>
    <cacheField name="UnitPrice" numFmtId="2">
      <sharedItems containsSemiMixedTypes="0" containsString="0" containsNumber="1" containsInteger="1" minValue="5000" maxValue="65000"/>
    </cacheField>
    <cacheField name="Quantity" numFmtId="0">
      <sharedItems containsSemiMixedTypes="0" containsString="0" containsNumber="1" containsInteger="1" minValue="1" maxValue="3"/>
    </cacheField>
    <cacheField name="DiscountPct" numFmtId="0">
      <sharedItems containsSemiMixedTypes="0" containsString="0" containsNumber="1" minValue="0" maxValue="0.2"/>
    </cacheField>
    <cacheField name="Revenue" numFmtId="0">
      <sharedItems containsSemiMixedTypes="0" containsString="0" containsNumber="1" containsInteger="1" minValue="4000" maxValue="195000"/>
    </cacheField>
    <cacheField name="AdSpendAttributed" numFmtId="0">
      <sharedItems containsSemiMixedTypes="0" containsString="0" containsNumber="1" minValue="0" maxValue="3468.15"/>
    </cacheField>
    <cacheField name="CustomerType" numFmtId="0">
      <sharedItems count="2">
        <s v="New"/>
        <s v="Returning"/>
      </sharedItems>
    </cacheField>
    <cacheField name="ROI" numFmtId="0" formula="Revenue/AdSpendAttributed" databaseField="0"/>
    <cacheField name="AOV" numFmtId="0" formula="Revenue/'Order count'" databaseField="0"/>
    <cacheField name="ROAS" numFmtId="0" formula="Revenue/AdSpendAttributed" databaseField="0"/>
    <cacheField name="Months (OrderDate)" numFmtId="0" databaseField="0">
      <fieldGroup base="2">
        <rangePr groupBy="months" startDate="2025-01-04T00:00:00" endDate="2026-09-03T00:00:00"/>
        <groupItems count="14">
          <s v="&lt;1/4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3/2026"/>
        </groupItems>
      </fieldGroup>
    </cacheField>
    <cacheField name="Quarters (OrderDate)" numFmtId="0" databaseField="0">
      <fieldGroup base="2">
        <rangePr groupBy="quarters" startDate="2025-01-04T00:00:00" endDate="2026-09-03T00:00:00"/>
        <groupItems count="6">
          <s v="&lt;1/4/2025"/>
          <s v="Qtr1"/>
          <s v="Qtr2"/>
          <s v="Qtr3"/>
          <s v="Qtr4"/>
          <s v="&gt;9/3/2026"/>
        </groupItems>
      </fieldGroup>
    </cacheField>
    <cacheField name="Years (OrderDate)" numFmtId="0" databaseField="0">
      <fieldGroup base="2">
        <rangePr groupBy="years" startDate="2025-01-04T00:00:00" endDate="2026-09-03T00:00:00"/>
        <groupItems count="4">
          <s v="&lt;1/4/2025"/>
          <s v="2025"/>
          <s v="2026"/>
          <s v="&gt;9/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1.470581481481" createdVersion="8" refreshedVersion="8" minRefreshableVersion="3" recordCount="450" xr:uid="{53CC2CE2-D48B-4216-9678-A1ABCE7B9D0B}">
  <cacheSource type="worksheet">
    <worksheetSource name="Table1[[OrderDate]:[CustomerType]]"/>
  </cacheSource>
  <cacheFields count="12">
    <cacheField name="OrderDate" numFmtId="164">
      <sharedItems containsSemiMixedTypes="0" containsNonDate="0" containsDate="1" containsString="0" minDate="2025-01-04T00:00:00" maxDate="2026-09-03T00:00:00"/>
    </cacheField>
    <cacheField name="Region" numFmtId="0">
      <sharedItems count="8">
        <s v="Port Harcourt"/>
        <s v="Abuja"/>
        <s v="Kano"/>
        <s v="Lagos"/>
        <s v="Ibadan"/>
        <s v="Unknown"/>
        <s v="Lagos " u="1"/>
        <s v=" Ibadan" u="1"/>
      </sharedItems>
    </cacheField>
    <cacheField name="MarketingChannel" numFmtId="0">
      <sharedItems count="9">
        <s v="Tiktok"/>
        <s v="Facebook"/>
        <s v="Google Ads"/>
        <s v="Referral"/>
        <s v="Instagram"/>
        <s v="Email"/>
        <s v="Walk-In"/>
        <s v="Unknown-Paid"/>
        <s v="Unknown-Organic"/>
      </sharedItems>
    </cacheField>
    <cacheField name="SalesRep" numFmtId="0">
      <sharedItems/>
    </cacheField>
    <cacheField name="Product" numFmtId="0">
      <sharedItems count="5">
        <s v="Premium Plan"/>
        <s v="Starter Plan"/>
        <s v="Add-On: Support"/>
        <s v="Pro Plan"/>
        <s v="Add-On: Storage"/>
      </sharedItems>
    </cacheField>
    <cacheField name="UnitPrice" numFmtId="2">
      <sharedItems containsSemiMixedTypes="0" containsString="0" containsNumber="1" containsInteger="1" minValue="5000" maxValue="65000"/>
    </cacheField>
    <cacheField name="Quantity" numFmtId="0">
      <sharedItems containsSemiMixedTypes="0" containsString="0" containsNumber="1" containsInteger="1" minValue="1" maxValue="3"/>
    </cacheField>
    <cacheField name="DiscountPct" numFmtId="0">
      <sharedItems containsSemiMixedTypes="0" containsString="0" containsNumber="1" minValue="0" maxValue="0.2"/>
    </cacheField>
    <cacheField name="Revenue" numFmtId="0">
      <sharedItems containsSemiMixedTypes="0" containsString="0" containsNumber="1" containsInteger="1" minValue="4000" maxValue="195000"/>
    </cacheField>
    <cacheField name="AdSpendAttributed" numFmtId="0">
      <sharedItems containsSemiMixedTypes="0" containsString="0" containsNumber="1" minValue="0" maxValue="3468.15"/>
    </cacheField>
    <cacheField name="CustomerType" numFmtId="0">
      <sharedItems count="2">
        <s v="New"/>
        <s v="Returning"/>
      </sharedItems>
    </cacheField>
    <cacheField name="ROI" numFmtId="0" formula="Revenue/AdSpendAttribute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s v="ORD-20442"/>
    <n v="1"/>
    <x v="0"/>
    <x v="0"/>
    <x v="0"/>
    <s v="Chidinma O."/>
    <x v="0"/>
    <n v="65000"/>
    <n v="1"/>
    <n v="0"/>
    <n v="65000"/>
    <n v="253.56"/>
    <x v="0"/>
  </r>
  <r>
    <s v="ORD-20057"/>
    <n v="1"/>
    <x v="1"/>
    <x v="1"/>
    <x v="1"/>
    <s v="Chidinma O."/>
    <x v="1"/>
    <n v="15000"/>
    <n v="2"/>
    <n v="0"/>
    <n v="30000"/>
    <n v="1995.19"/>
    <x v="0"/>
  </r>
  <r>
    <s v="ORD-20080"/>
    <n v="1"/>
    <x v="2"/>
    <x v="1"/>
    <x v="2"/>
    <s v="Fatima S."/>
    <x v="2"/>
    <n v="8000"/>
    <n v="1"/>
    <n v="0"/>
    <n v="8000"/>
    <n v="3317.43"/>
    <x v="1"/>
  </r>
  <r>
    <s v="ORD-20035"/>
    <n v="1"/>
    <x v="3"/>
    <x v="2"/>
    <x v="0"/>
    <s v="Emeka N."/>
    <x v="0"/>
    <n v="65000"/>
    <n v="1"/>
    <n v="0.15"/>
    <n v="55250"/>
    <n v="1910.7"/>
    <x v="0"/>
  </r>
  <r>
    <s v="ORD-20004"/>
    <n v="1"/>
    <x v="4"/>
    <x v="3"/>
    <x v="3"/>
    <s v="Emeka N."/>
    <x v="1"/>
    <n v="15000"/>
    <n v="1"/>
    <n v="0"/>
    <n v="15000"/>
    <n v="0"/>
    <x v="0"/>
  </r>
  <r>
    <s v="ORD-20051"/>
    <n v="1"/>
    <x v="5"/>
    <x v="1"/>
    <x v="1"/>
    <s v="N/A - Self-Serve."/>
    <x v="2"/>
    <n v="8000"/>
    <n v="1"/>
    <n v="0"/>
    <n v="8000"/>
    <n v="1328.78"/>
    <x v="1"/>
  </r>
  <r>
    <s v="ORD-20157"/>
    <n v="1"/>
    <x v="5"/>
    <x v="3"/>
    <x v="4"/>
    <s v="Chidinma O."/>
    <x v="3"/>
    <n v="35000"/>
    <n v="2"/>
    <n v="0.05"/>
    <n v="66500"/>
    <n v="671.86"/>
    <x v="1"/>
  </r>
  <r>
    <s v="ORD-20024"/>
    <n v="1"/>
    <x v="5"/>
    <x v="3"/>
    <x v="0"/>
    <s v="Emeka N."/>
    <x v="0"/>
    <n v="65000"/>
    <n v="2"/>
    <n v="0.05"/>
    <n v="123500"/>
    <n v="399.5"/>
    <x v="1"/>
  </r>
  <r>
    <s v="ORD-20420"/>
    <n v="1"/>
    <x v="6"/>
    <x v="1"/>
    <x v="2"/>
    <s v="Bayo A."/>
    <x v="0"/>
    <n v="65000"/>
    <n v="2"/>
    <n v="0"/>
    <n v="130000"/>
    <n v="2224.63"/>
    <x v="1"/>
  </r>
  <r>
    <s v="ORD-20069"/>
    <n v="1"/>
    <x v="7"/>
    <x v="4"/>
    <x v="1"/>
    <s v="Tunde K."/>
    <x v="3"/>
    <n v="35000"/>
    <n v="2"/>
    <n v="0.15"/>
    <n v="59500"/>
    <n v="3207.53"/>
    <x v="0"/>
  </r>
  <r>
    <s v="ORD-20042"/>
    <n v="1"/>
    <x v="8"/>
    <x v="2"/>
    <x v="2"/>
    <s v="Chidinma O."/>
    <x v="4"/>
    <n v="5000"/>
    <n v="2"/>
    <n v="0"/>
    <n v="10000"/>
    <n v="2738.4"/>
    <x v="0"/>
  </r>
  <r>
    <s v="ORD-20229"/>
    <n v="1"/>
    <x v="8"/>
    <x v="3"/>
    <x v="4"/>
    <s v="Nkechi U."/>
    <x v="3"/>
    <n v="35000"/>
    <n v="3"/>
    <n v="0.05"/>
    <n v="99750"/>
    <n v="3380.91"/>
    <x v="1"/>
  </r>
  <r>
    <s v="ORD-20206"/>
    <n v="1"/>
    <x v="9"/>
    <x v="1"/>
    <x v="4"/>
    <s v="Chidinma O."/>
    <x v="4"/>
    <n v="5000"/>
    <n v="2"/>
    <n v="0"/>
    <n v="10000"/>
    <n v="1273.32"/>
    <x v="0"/>
  </r>
  <r>
    <s v="ORD-20322"/>
    <n v="1"/>
    <x v="10"/>
    <x v="4"/>
    <x v="2"/>
    <s v="Bayo A."/>
    <x v="2"/>
    <n v="8000"/>
    <n v="2"/>
    <n v="0"/>
    <n v="16000"/>
    <n v="1580.54"/>
    <x v="1"/>
  </r>
  <r>
    <s v="ORD-20113"/>
    <n v="1"/>
    <x v="10"/>
    <x v="0"/>
    <x v="1"/>
    <s v="Nkechi U."/>
    <x v="2"/>
    <n v="8000"/>
    <n v="1"/>
    <n v="0.1"/>
    <n v="7200"/>
    <n v="2072.63"/>
    <x v="0"/>
  </r>
  <r>
    <s v="ORD-20416"/>
    <n v="1"/>
    <x v="11"/>
    <x v="3"/>
    <x v="4"/>
    <s v="Bayo A."/>
    <x v="0"/>
    <n v="65000"/>
    <n v="2"/>
    <n v="0.2"/>
    <n v="104000"/>
    <n v="1701.92"/>
    <x v="1"/>
  </r>
  <r>
    <s v="ORD-20064"/>
    <n v="1"/>
    <x v="11"/>
    <x v="0"/>
    <x v="5"/>
    <s v="Nkechi U."/>
    <x v="4"/>
    <n v="5000"/>
    <n v="2"/>
    <n v="0.1"/>
    <n v="9000"/>
    <n v="0"/>
    <x v="0"/>
  </r>
  <r>
    <s v="ORD-20398"/>
    <n v="1"/>
    <x v="12"/>
    <x v="2"/>
    <x v="1"/>
    <s v="Chidinma O."/>
    <x v="1"/>
    <n v="15000"/>
    <n v="1"/>
    <n v="0"/>
    <n v="15000"/>
    <n v="3207.99"/>
    <x v="0"/>
  </r>
  <r>
    <s v="ORD-20432"/>
    <n v="1"/>
    <x v="12"/>
    <x v="0"/>
    <x v="0"/>
    <s v="Chidinma O."/>
    <x v="0"/>
    <n v="65000"/>
    <n v="1"/>
    <n v="0.05"/>
    <n v="61750"/>
    <n v="2494.77"/>
    <x v="0"/>
  </r>
  <r>
    <s v="ORD-20005"/>
    <n v="1"/>
    <x v="13"/>
    <x v="4"/>
    <x v="6"/>
    <s v="Rep Not Recorded"/>
    <x v="0"/>
    <n v="65000"/>
    <n v="2"/>
    <n v="0.1"/>
    <n v="117000"/>
    <n v="0"/>
    <x v="0"/>
  </r>
  <r>
    <s v="ORD-20223"/>
    <n v="1"/>
    <x v="14"/>
    <x v="4"/>
    <x v="3"/>
    <s v="Chidinma O."/>
    <x v="1"/>
    <n v="15000"/>
    <n v="3"/>
    <n v="0"/>
    <n v="45000"/>
    <n v="0"/>
    <x v="0"/>
  </r>
  <r>
    <s v="ORD-20447"/>
    <n v="1"/>
    <x v="15"/>
    <x v="0"/>
    <x v="2"/>
    <s v="Emeka N."/>
    <x v="2"/>
    <n v="8000"/>
    <n v="2"/>
    <n v="0"/>
    <n v="16000"/>
    <n v="1412.72"/>
    <x v="0"/>
  </r>
  <r>
    <s v="ORD-20336"/>
    <n v="1"/>
    <x v="16"/>
    <x v="1"/>
    <x v="4"/>
    <s v="Bayo A."/>
    <x v="2"/>
    <n v="8000"/>
    <n v="1"/>
    <n v="0.1"/>
    <n v="7200"/>
    <n v="1299.02"/>
    <x v="1"/>
  </r>
  <r>
    <s v="ORD-20195"/>
    <n v="1"/>
    <x v="17"/>
    <x v="4"/>
    <x v="4"/>
    <s v="Nkechi U."/>
    <x v="3"/>
    <n v="35000"/>
    <n v="2"/>
    <n v="0.1"/>
    <n v="63000"/>
    <n v="501.7"/>
    <x v="0"/>
  </r>
  <r>
    <s v="ORD-20075"/>
    <n v="1"/>
    <x v="18"/>
    <x v="3"/>
    <x v="0"/>
    <s v="Tunde K."/>
    <x v="3"/>
    <n v="35000"/>
    <n v="2"/>
    <n v="0.05"/>
    <n v="66500"/>
    <n v="2639.8"/>
    <x v="1"/>
  </r>
  <r>
    <s v="ORD-20003"/>
    <n v="1"/>
    <x v="19"/>
    <x v="5"/>
    <x v="3"/>
    <s v="Nkechi U."/>
    <x v="4"/>
    <n v="5000"/>
    <n v="3"/>
    <n v="0.15"/>
    <n v="12750"/>
    <n v="0"/>
    <x v="0"/>
  </r>
  <r>
    <s v="ORD-20029"/>
    <n v="1"/>
    <x v="20"/>
    <x v="3"/>
    <x v="6"/>
    <s v="Bayo A."/>
    <x v="0"/>
    <n v="65000"/>
    <n v="1"/>
    <n v="0"/>
    <n v="65000"/>
    <n v="0"/>
    <x v="0"/>
  </r>
  <r>
    <s v="ORD-20333"/>
    <n v="1"/>
    <x v="21"/>
    <x v="1"/>
    <x v="1"/>
    <s v="Emeka N."/>
    <x v="1"/>
    <n v="15000"/>
    <n v="1"/>
    <n v="0.05"/>
    <n v="14250"/>
    <n v="2564.38"/>
    <x v="1"/>
  </r>
  <r>
    <s v="ORD-20021"/>
    <n v="1"/>
    <x v="22"/>
    <x v="3"/>
    <x v="2"/>
    <s v="Fatima S."/>
    <x v="1"/>
    <n v="15000"/>
    <n v="1"/>
    <n v="0.1"/>
    <n v="13500"/>
    <n v="986.74"/>
    <x v="1"/>
  </r>
  <r>
    <s v="ORD-20259"/>
    <n v="1"/>
    <x v="22"/>
    <x v="0"/>
    <x v="3"/>
    <s v="Emeka N."/>
    <x v="2"/>
    <n v="8000"/>
    <n v="1"/>
    <n v="0.15"/>
    <n v="6800"/>
    <n v="0"/>
    <x v="1"/>
  </r>
  <r>
    <s v="ORD-20438"/>
    <n v="1"/>
    <x v="22"/>
    <x v="3"/>
    <x v="4"/>
    <s v="N/A - Self-Serve."/>
    <x v="2"/>
    <n v="8000"/>
    <n v="2"/>
    <n v="0"/>
    <n v="16000"/>
    <n v="1269.3900000000001"/>
    <x v="0"/>
  </r>
  <r>
    <s v="ORD-20220"/>
    <n v="1"/>
    <x v="23"/>
    <x v="1"/>
    <x v="1"/>
    <s v="Bayo A."/>
    <x v="4"/>
    <n v="5000"/>
    <n v="2"/>
    <n v="0"/>
    <n v="10000"/>
    <n v="2573.34"/>
    <x v="0"/>
  </r>
  <r>
    <s v="ORD-20207"/>
    <n v="1"/>
    <x v="24"/>
    <x v="3"/>
    <x v="3"/>
    <s v="Bayo A."/>
    <x v="4"/>
    <n v="5000"/>
    <n v="2"/>
    <n v="0"/>
    <n v="10000"/>
    <n v="0"/>
    <x v="0"/>
  </r>
  <r>
    <s v="ORD-20205"/>
    <n v="1"/>
    <x v="25"/>
    <x v="1"/>
    <x v="4"/>
    <s v="Emeka N."/>
    <x v="0"/>
    <n v="65000"/>
    <n v="1"/>
    <n v="0.2"/>
    <n v="52000"/>
    <n v="2587.4"/>
    <x v="0"/>
  </r>
  <r>
    <s v="ORD-20388"/>
    <n v="1"/>
    <x v="26"/>
    <x v="3"/>
    <x v="5"/>
    <s v="Fatima S."/>
    <x v="4"/>
    <n v="5000"/>
    <n v="2"/>
    <n v="0"/>
    <n v="10000"/>
    <n v="0"/>
    <x v="0"/>
  </r>
  <r>
    <s v="ORD-20099"/>
    <n v="1"/>
    <x v="27"/>
    <x v="1"/>
    <x v="1"/>
    <s v="Chidinma O."/>
    <x v="0"/>
    <n v="65000"/>
    <n v="1"/>
    <n v="0.05"/>
    <n v="61750"/>
    <n v="2257.0500000000002"/>
    <x v="0"/>
  </r>
  <r>
    <s v="ORD-20123"/>
    <n v="1"/>
    <x v="28"/>
    <x v="0"/>
    <x v="1"/>
    <s v="N/A - Self-Serve."/>
    <x v="1"/>
    <n v="15000"/>
    <n v="2"/>
    <n v="0.05"/>
    <n v="28500"/>
    <n v="1231.42"/>
    <x v="1"/>
  </r>
  <r>
    <s v="ORD-20313"/>
    <n v="1"/>
    <x v="28"/>
    <x v="3"/>
    <x v="2"/>
    <s v="Tunde K."/>
    <x v="2"/>
    <n v="8000"/>
    <n v="2"/>
    <n v="0.1"/>
    <n v="14400"/>
    <n v="1519.14"/>
    <x v="1"/>
  </r>
  <r>
    <s v="ORD-20377"/>
    <n v="1"/>
    <x v="29"/>
    <x v="4"/>
    <x v="3"/>
    <s v="Chidinma O."/>
    <x v="1"/>
    <n v="15000"/>
    <n v="1"/>
    <n v="0"/>
    <n v="15000"/>
    <n v="0"/>
    <x v="1"/>
  </r>
  <r>
    <s v="ORD-20253"/>
    <n v="1"/>
    <x v="29"/>
    <x v="4"/>
    <x v="0"/>
    <s v="Tunde K."/>
    <x v="1"/>
    <n v="15000"/>
    <n v="1"/>
    <n v="0"/>
    <n v="15000"/>
    <n v="236.39"/>
    <x v="0"/>
  </r>
  <r>
    <s v="ORD-20248"/>
    <n v="1"/>
    <x v="30"/>
    <x v="3"/>
    <x v="4"/>
    <s v="Chidinma O."/>
    <x v="0"/>
    <n v="65000"/>
    <n v="3"/>
    <n v="0"/>
    <n v="195000"/>
    <n v="802.24"/>
    <x v="1"/>
  </r>
  <r>
    <s v="ORD-20334"/>
    <n v="1"/>
    <x v="31"/>
    <x v="1"/>
    <x v="6"/>
    <s v="Chidinma O."/>
    <x v="4"/>
    <n v="5000"/>
    <n v="2"/>
    <n v="0.05"/>
    <n v="9500"/>
    <n v="0"/>
    <x v="1"/>
  </r>
  <r>
    <s v="ORD-20273"/>
    <n v="1"/>
    <x v="31"/>
    <x v="1"/>
    <x v="0"/>
    <s v="Fatima S."/>
    <x v="1"/>
    <n v="15000"/>
    <n v="3"/>
    <n v="0"/>
    <n v="45000"/>
    <n v="1908.28"/>
    <x v="0"/>
  </r>
  <r>
    <s v="ORD-20263"/>
    <n v="1"/>
    <x v="32"/>
    <x v="0"/>
    <x v="0"/>
    <s v="N/A - Self-Serve."/>
    <x v="2"/>
    <n v="8000"/>
    <n v="1"/>
    <n v="0.05"/>
    <n v="7600"/>
    <n v="3376.8"/>
    <x v="1"/>
  </r>
  <r>
    <s v="ORD-20028"/>
    <n v="1"/>
    <x v="32"/>
    <x v="2"/>
    <x v="4"/>
    <s v="Bayo A."/>
    <x v="0"/>
    <n v="65000"/>
    <n v="1"/>
    <n v="0"/>
    <n v="65000"/>
    <n v="1695.2"/>
    <x v="0"/>
  </r>
  <r>
    <s v="ORD-20284"/>
    <n v="1"/>
    <x v="33"/>
    <x v="3"/>
    <x v="4"/>
    <s v="Chidinma O."/>
    <x v="0"/>
    <n v="65000"/>
    <n v="1"/>
    <n v="0.2"/>
    <n v="52000"/>
    <n v="860.63"/>
    <x v="0"/>
  </r>
  <r>
    <s v="ORD-20023"/>
    <n v="1"/>
    <x v="33"/>
    <x v="3"/>
    <x v="1"/>
    <s v="Bayo A."/>
    <x v="3"/>
    <n v="35000"/>
    <n v="2"/>
    <n v="0.1"/>
    <n v="63000"/>
    <n v="1124.72"/>
    <x v="1"/>
  </r>
  <r>
    <s v="ORD-20276"/>
    <n v="1"/>
    <x v="34"/>
    <x v="4"/>
    <x v="1"/>
    <s v="Nkechi U."/>
    <x v="1"/>
    <n v="15000"/>
    <n v="2"/>
    <n v="0"/>
    <n v="30000"/>
    <n v="2878.49"/>
    <x v="1"/>
  </r>
  <r>
    <s v="ORD-20031"/>
    <n v="1"/>
    <x v="34"/>
    <x v="2"/>
    <x v="0"/>
    <s v="Fatima S."/>
    <x v="1"/>
    <n v="15000"/>
    <n v="3"/>
    <n v="0"/>
    <n v="45000"/>
    <n v="3103.31"/>
    <x v="1"/>
  </r>
  <r>
    <s v="ORD-20118"/>
    <n v="1"/>
    <x v="35"/>
    <x v="1"/>
    <x v="0"/>
    <s v="Chidinma O."/>
    <x v="4"/>
    <n v="5000"/>
    <n v="3"/>
    <n v="0"/>
    <n v="15000"/>
    <n v="2859.49"/>
    <x v="0"/>
  </r>
  <r>
    <s v="ORD-20203"/>
    <n v="1"/>
    <x v="35"/>
    <x v="1"/>
    <x v="4"/>
    <s v="Chidinma O."/>
    <x v="0"/>
    <n v="65000"/>
    <n v="1"/>
    <n v="0"/>
    <n v="65000"/>
    <n v="1912.38"/>
    <x v="1"/>
  </r>
  <r>
    <s v="ORD-20221"/>
    <n v="1"/>
    <x v="35"/>
    <x v="2"/>
    <x v="6"/>
    <s v="Tunde K."/>
    <x v="1"/>
    <n v="15000"/>
    <n v="1"/>
    <n v="0"/>
    <n v="15000"/>
    <n v="0"/>
    <x v="0"/>
  </r>
  <r>
    <s v="ORD-20145"/>
    <n v="1"/>
    <x v="35"/>
    <x v="3"/>
    <x v="4"/>
    <s v="Emeka N."/>
    <x v="4"/>
    <n v="5000"/>
    <n v="2"/>
    <n v="0"/>
    <n v="10000"/>
    <n v="2730.64"/>
    <x v="1"/>
  </r>
  <r>
    <s v="ORD-20323"/>
    <n v="1"/>
    <x v="36"/>
    <x v="3"/>
    <x v="1"/>
    <s v="Nkechi U."/>
    <x v="1"/>
    <n v="15000"/>
    <n v="2"/>
    <n v="0.15"/>
    <n v="25500"/>
    <n v="1446.86"/>
    <x v="1"/>
  </r>
  <r>
    <s v="ORD-20428"/>
    <n v="1"/>
    <x v="37"/>
    <x v="3"/>
    <x v="6"/>
    <s v="Rep Not Recorded"/>
    <x v="0"/>
    <n v="65000"/>
    <n v="2"/>
    <n v="0.15"/>
    <n v="110500"/>
    <n v="0"/>
    <x v="1"/>
  </r>
  <r>
    <s v="ORD-20342"/>
    <n v="1"/>
    <x v="37"/>
    <x v="2"/>
    <x v="1"/>
    <s v="Fatima S."/>
    <x v="1"/>
    <n v="15000"/>
    <n v="1"/>
    <n v="0.2"/>
    <n v="12000"/>
    <n v="3313.32"/>
    <x v="1"/>
  </r>
  <r>
    <s v="ORD-20372"/>
    <n v="1"/>
    <x v="38"/>
    <x v="2"/>
    <x v="6"/>
    <s v="Tunde K."/>
    <x v="2"/>
    <n v="8000"/>
    <n v="1"/>
    <n v="0"/>
    <n v="8000"/>
    <n v="0"/>
    <x v="1"/>
  </r>
  <r>
    <s v="ORD-20082"/>
    <n v="1"/>
    <x v="38"/>
    <x v="4"/>
    <x v="1"/>
    <s v="Emeka N."/>
    <x v="2"/>
    <n v="8000"/>
    <n v="2"/>
    <n v="0.15"/>
    <n v="13600"/>
    <n v="2514.13"/>
    <x v="1"/>
  </r>
  <r>
    <s v="ORD-20107"/>
    <n v="1"/>
    <x v="39"/>
    <x v="3"/>
    <x v="1"/>
    <s v="Tunde K."/>
    <x v="4"/>
    <n v="5000"/>
    <n v="3"/>
    <n v="0.2"/>
    <n v="12000"/>
    <n v="1133.6199999999999"/>
    <x v="1"/>
  </r>
  <r>
    <s v="ORD-20350"/>
    <n v="1"/>
    <x v="40"/>
    <x v="1"/>
    <x v="0"/>
    <s v="Bayo A."/>
    <x v="2"/>
    <n v="8000"/>
    <n v="2"/>
    <n v="0"/>
    <n v="16000"/>
    <n v="1577.01"/>
    <x v="1"/>
  </r>
  <r>
    <s v="ORD-20152"/>
    <n v="1"/>
    <x v="41"/>
    <x v="3"/>
    <x v="1"/>
    <s v="Bayo A."/>
    <x v="0"/>
    <n v="65000"/>
    <n v="2"/>
    <n v="0"/>
    <n v="130000"/>
    <n v="3412.81"/>
    <x v="1"/>
  </r>
  <r>
    <s v="ORD-20262"/>
    <n v="1"/>
    <x v="42"/>
    <x v="3"/>
    <x v="6"/>
    <s v="Nkechi U."/>
    <x v="2"/>
    <n v="8000"/>
    <n v="1"/>
    <n v="0"/>
    <n v="8000"/>
    <n v="0"/>
    <x v="0"/>
  </r>
  <r>
    <s v="ORD-20067"/>
    <n v="1"/>
    <x v="43"/>
    <x v="4"/>
    <x v="2"/>
    <s v="Bayo A."/>
    <x v="3"/>
    <n v="35000"/>
    <n v="1"/>
    <n v="0.15"/>
    <n v="29750"/>
    <n v="1056.3399999999999"/>
    <x v="0"/>
  </r>
  <r>
    <s v="ORD-20383"/>
    <n v="1"/>
    <x v="43"/>
    <x v="2"/>
    <x v="4"/>
    <s v="Bayo A."/>
    <x v="0"/>
    <n v="65000"/>
    <n v="2"/>
    <n v="0.1"/>
    <n v="117000"/>
    <n v="1840.84"/>
    <x v="0"/>
  </r>
  <r>
    <s v="ORD-20326"/>
    <n v="1"/>
    <x v="43"/>
    <x v="3"/>
    <x v="1"/>
    <s v="Bayo A."/>
    <x v="0"/>
    <n v="65000"/>
    <n v="2"/>
    <n v="0"/>
    <n v="130000"/>
    <n v="711.74"/>
    <x v="0"/>
  </r>
  <r>
    <s v="ORD-20168"/>
    <n v="1"/>
    <x v="44"/>
    <x v="1"/>
    <x v="3"/>
    <s v="Bayo A."/>
    <x v="1"/>
    <n v="15000"/>
    <n v="2"/>
    <n v="0.1"/>
    <n v="27000"/>
    <n v="0"/>
    <x v="0"/>
  </r>
  <r>
    <s v="ORD-20314"/>
    <n v="1"/>
    <x v="45"/>
    <x v="1"/>
    <x v="6"/>
    <s v="Bayo A."/>
    <x v="1"/>
    <n v="15000"/>
    <n v="1"/>
    <n v="0"/>
    <n v="15000"/>
    <n v="0"/>
    <x v="1"/>
  </r>
  <r>
    <s v="ORD-20086"/>
    <n v="1"/>
    <x v="46"/>
    <x v="1"/>
    <x v="4"/>
    <s v="Chidinma O."/>
    <x v="1"/>
    <n v="15000"/>
    <n v="2"/>
    <n v="0.1"/>
    <n v="27000"/>
    <n v="1475.2"/>
    <x v="1"/>
  </r>
  <r>
    <s v="ORD-20144"/>
    <n v="1"/>
    <x v="46"/>
    <x v="4"/>
    <x v="6"/>
    <s v="Chidinma O."/>
    <x v="1"/>
    <n v="15000"/>
    <n v="1"/>
    <n v="0"/>
    <n v="15000"/>
    <n v="0"/>
    <x v="1"/>
  </r>
  <r>
    <s v="ORD-20277"/>
    <n v="1"/>
    <x v="46"/>
    <x v="3"/>
    <x v="6"/>
    <s v="Emeka N."/>
    <x v="1"/>
    <n v="15000"/>
    <n v="1"/>
    <n v="0.2"/>
    <n v="12000"/>
    <n v="0"/>
    <x v="0"/>
  </r>
  <r>
    <s v="ORD-20149"/>
    <n v="1"/>
    <x v="47"/>
    <x v="1"/>
    <x v="1"/>
    <s v="Emeka N."/>
    <x v="0"/>
    <n v="65000"/>
    <n v="2"/>
    <n v="0"/>
    <n v="130000"/>
    <n v="1363.45"/>
    <x v="0"/>
  </r>
  <r>
    <s v="ORD-20115"/>
    <n v="1"/>
    <x v="48"/>
    <x v="0"/>
    <x v="4"/>
    <s v="Nkechi U."/>
    <x v="1"/>
    <n v="15000"/>
    <n v="1"/>
    <n v="0.15"/>
    <n v="12750"/>
    <n v="521.58000000000004"/>
    <x v="1"/>
  </r>
  <r>
    <s v="ORD-20071"/>
    <n v="1"/>
    <x v="49"/>
    <x v="4"/>
    <x v="0"/>
    <s v="Bayo A."/>
    <x v="1"/>
    <n v="15000"/>
    <n v="2"/>
    <n v="0.1"/>
    <n v="27000"/>
    <n v="683.63"/>
    <x v="1"/>
  </r>
  <r>
    <s v="ORD-20408"/>
    <n v="1"/>
    <x v="50"/>
    <x v="2"/>
    <x v="1"/>
    <s v="Bayo A."/>
    <x v="3"/>
    <n v="35000"/>
    <n v="1"/>
    <n v="0"/>
    <n v="35000"/>
    <n v="206.99"/>
    <x v="1"/>
  </r>
  <r>
    <s v="ORD-20347"/>
    <n v="1"/>
    <x v="51"/>
    <x v="0"/>
    <x v="4"/>
    <s v="Bayo A."/>
    <x v="0"/>
    <n v="65000"/>
    <n v="1"/>
    <n v="0"/>
    <n v="65000"/>
    <n v="844.49"/>
    <x v="0"/>
  </r>
  <r>
    <s v="ORD-20233"/>
    <n v="1"/>
    <x v="52"/>
    <x v="2"/>
    <x v="2"/>
    <s v="Chidinma O."/>
    <x v="2"/>
    <n v="8000"/>
    <n v="3"/>
    <n v="0.05"/>
    <n v="22800"/>
    <n v="736.48"/>
    <x v="1"/>
  </r>
  <r>
    <s v="ORD-20072"/>
    <n v="1"/>
    <x v="53"/>
    <x v="4"/>
    <x v="1"/>
    <s v="Bayo A."/>
    <x v="3"/>
    <n v="35000"/>
    <n v="1"/>
    <n v="0"/>
    <n v="35000"/>
    <n v="2113.27"/>
    <x v="1"/>
  </r>
  <r>
    <s v="ORD-20283"/>
    <n v="1"/>
    <x v="54"/>
    <x v="0"/>
    <x v="0"/>
    <s v="Tunde K."/>
    <x v="0"/>
    <n v="65000"/>
    <n v="2"/>
    <n v="0.1"/>
    <n v="117000"/>
    <n v="1213.8900000000001"/>
    <x v="0"/>
  </r>
  <r>
    <s v="ORD-20070"/>
    <n v="1"/>
    <x v="54"/>
    <x v="0"/>
    <x v="0"/>
    <s v="Emeka N."/>
    <x v="2"/>
    <n v="8000"/>
    <n v="3"/>
    <n v="0.2"/>
    <n v="19200"/>
    <n v="2849.38"/>
    <x v="1"/>
  </r>
  <r>
    <s v="ORD-20014"/>
    <n v="1"/>
    <x v="55"/>
    <x v="2"/>
    <x v="5"/>
    <s v="Fatima S."/>
    <x v="4"/>
    <n v="5000"/>
    <n v="1"/>
    <n v="0"/>
    <n v="5000"/>
    <n v="0"/>
    <x v="0"/>
  </r>
  <r>
    <s v="ORD-20278"/>
    <n v="1"/>
    <x v="56"/>
    <x v="3"/>
    <x v="2"/>
    <s v="Chidinma O."/>
    <x v="3"/>
    <n v="35000"/>
    <n v="2"/>
    <n v="0.05"/>
    <n v="66500"/>
    <n v="3002.36"/>
    <x v="0"/>
  </r>
  <r>
    <s v="ORD-20397"/>
    <n v="1"/>
    <x v="56"/>
    <x v="0"/>
    <x v="0"/>
    <s v="Bayo A."/>
    <x v="2"/>
    <n v="8000"/>
    <n v="2"/>
    <n v="0"/>
    <n v="16000"/>
    <n v="1100.49"/>
    <x v="1"/>
  </r>
  <r>
    <s v="ORD-20335"/>
    <n v="1"/>
    <x v="56"/>
    <x v="3"/>
    <x v="0"/>
    <s v="Fatima S."/>
    <x v="3"/>
    <n v="35000"/>
    <n v="2"/>
    <n v="0"/>
    <n v="70000"/>
    <n v="1852.05"/>
    <x v="1"/>
  </r>
  <r>
    <s v="ORD-20306"/>
    <n v="1"/>
    <x v="57"/>
    <x v="3"/>
    <x v="0"/>
    <s v="Bayo A."/>
    <x v="1"/>
    <n v="15000"/>
    <n v="1"/>
    <n v="0"/>
    <n v="15000"/>
    <n v="2623.64"/>
    <x v="1"/>
  </r>
  <r>
    <s v="ORD-20158"/>
    <n v="1"/>
    <x v="57"/>
    <x v="5"/>
    <x v="3"/>
    <s v="Nkechi U."/>
    <x v="3"/>
    <n v="35000"/>
    <n v="1"/>
    <n v="0.1"/>
    <n v="31500"/>
    <n v="0"/>
    <x v="0"/>
  </r>
  <r>
    <s v="ORD-20413"/>
    <n v="1"/>
    <x v="58"/>
    <x v="4"/>
    <x v="3"/>
    <s v="Chidinma O."/>
    <x v="0"/>
    <n v="65000"/>
    <n v="1"/>
    <n v="0"/>
    <n v="65000"/>
    <n v="0"/>
    <x v="1"/>
  </r>
  <r>
    <s v="ORD-20369"/>
    <n v="1"/>
    <x v="59"/>
    <x v="4"/>
    <x v="0"/>
    <s v="Tunde K."/>
    <x v="3"/>
    <n v="35000"/>
    <n v="1"/>
    <n v="0"/>
    <n v="35000"/>
    <n v="2431.9499999999998"/>
    <x v="0"/>
  </r>
  <r>
    <s v="ORD-20404"/>
    <n v="1"/>
    <x v="60"/>
    <x v="1"/>
    <x v="4"/>
    <s v="Chidinma O."/>
    <x v="4"/>
    <n v="5000"/>
    <n v="2"/>
    <n v="0.15"/>
    <n v="8500"/>
    <n v="2715.99"/>
    <x v="0"/>
  </r>
  <r>
    <s v="ORD-20058"/>
    <n v="1"/>
    <x v="60"/>
    <x v="4"/>
    <x v="6"/>
    <s v="Bayo A."/>
    <x v="1"/>
    <n v="15000"/>
    <n v="3"/>
    <n v="0"/>
    <n v="45000"/>
    <n v="0"/>
    <x v="0"/>
  </r>
  <r>
    <s v="ORD-20286"/>
    <n v="1"/>
    <x v="61"/>
    <x v="0"/>
    <x v="6"/>
    <s v="Chidinma O."/>
    <x v="0"/>
    <n v="65000"/>
    <n v="2"/>
    <n v="0.15"/>
    <n v="110500"/>
    <n v="0"/>
    <x v="1"/>
  </r>
  <r>
    <s v="ORD-20394"/>
    <n v="1"/>
    <x v="62"/>
    <x v="3"/>
    <x v="6"/>
    <s v="Chidinma O."/>
    <x v="4"/>
    <n v="5000"/>
    <n v="2"/>
    <n v="0.2"/>
    <n v="8000"/>
    <n v="0"/>
    <x v="0"/>
  </r>
  <r>
    <s v="ORD-20282"/>
    <n v="1"/>
    <x v="63"/>
    <x v="1"/>
    <x v="5"/>
    <s v="Nkechi U."/>
    <x v="2"/>
    <n v="8000"/>
    <n v="2"/>
    <n v="0"/>
    <n v="16000"/>
    <n v="0"/>
    <x v="0"/>
  </r>
  <r>
    <s v="ORD-20132"/>
    <n v="1"/>
    <x v="63"/>
    <x v="1"/>
    <x v="3"/>
    <s v="Bayo A."/>
    <x v="0"/>
    <n v="65000"/>
    <n v="1"/>
    <n v="0.1"/>
    <n v="58500"/>
    <n v="0"/>
    <x v="1"/>
  </r>
  <r>
    <s v="ORD-20390"/>
    <n v="1"/>
    <x v="63"/>
    <x v="0"/>
    <x v="0"/>
    <s v="Nkechi U."/>
    <x v="0"/>
    <n v="65000"/>
    <n v="1"/>
    <n v="0.2"/>
    <n v="52000"/>
    <n v="588.22"/>
    <x v="1"/>
  </r>
  <r>
    <s v="ORD-20194"/>
    <n v="1"/>
    <x v="63"/>
    <x v="3"/>
    <x v="5"/>
    <s v="Bayo A."/>
    <x v="2"/>
    <n v="8000"/>
    <n v="1"/>
    <n v="0"/>
    <n v="8000"/>
    <n v="0"/>
    <x v="0"/>
  </r>
  <r>
    <s v="ORD-20302"/>
    <n v="1"/>
    <x v="64"/>
    <x v="1"/>
    <x v="2"/>
    <s v="Fatima S."/>
    <x v="2"/>
    <n v="8000"/>
    <n v="2"/>
    <n v="0"/>
    <n v="16000"/>
    <n v="1364.12"/>
    <x v="1"/>
  </r>
  <r>
    <s v="ORD-20291"/>
    <n v="1"/>
    <x v="65"/>
    <x v="4"/>
    <x v="3"/>
    <s v="Tunde K."/>
    <x v="4"/>
    <n v="5000"/>
    <n v="2"/>
    <n v="0"/>
    <n v="10000"/>
    <n v="0"/>
    <x v="0"/>
  </r>
  <r>
    <s v="ORD-20012"/>
    <n v="1"/>
    <x v="66"/>
    <x v="5"/>
    <x v="2"/>
    <s v="Bayo A."/>
    <x v="1"/>
    <n v="15000"/>
    <n v="1"/>
    <n v="0"/>
    <n v="15000"/>
    <n v="2830.17"/>
    <x v="1"/>
  </r>
  <r>
    <s v="ORD-20310"/>
    <n v="1"/>
    <x v="67"/>
    <x v="4"/>
    <x v="6"/>
    <s v="Fatima S."/>
    <x v="4"/>
    <n v="5000"/>
    <n v="3"/>
    <n v="0"/>
    <n v="15000"/>
    <n v="0"/>
    <x v="1"/>
  </r>
  <r>
    <s v="ORD-20026"/>
    <n v="1"/>
    <x v="67"/>
    <x v="4"/>
    <x v="2"/>
    <s v="Nkechi U."/>
    <x v="0"/>
    <n v="65000"/>
    <n v="3"/>
    <n v="0.15"/>
    <n v="165750"/>
    <n v="2146.59"/>
    <x v="0"/>
  </r>
  <r>
    <s v="ORD-20249"/>
    <n v="1"/>
    <x v="68"/>
    <x v="2"/>
    <x v="6"/>
    <s v="Chidinma O."/>
    <x v="4"/>
    <n v="5000"/>
    <n v="2"/>
    <n v="0"/>
    <n v="10000"/>
    <n v="0"/>
    <x v="0"/>
  </r>
  <r>
    <s v="ORD-20095"/>
    <n v="1"/>
    <x v="68"/>
    <x v="1"/>
    <x v="6"/>
    <s v="Chidinma O."/>
    <x v="4"/>
    <n v="5000"/>
    <n v="2"/>
    <n v="0"/>
    <n v="10000"/>
    <n v="0"/>
    <x v="0"/>
  </r>
  <r>
    <s v="ORD-20256"/>
    <n v="1"/>
    <x v="69"/>
    <x v="1"/>
    <x v="1"/>
    <s v="Tunde K."/>
    <x v="0"/>
    <n v="65000"/>
    <n v="2"/>
    <n v="0.15"/>
    <n v="110500"/>
    <n v="1870.37"/>
    <x v="0"/>
  </r>
  <r>
    <s v="ORD-20298"/>
    <n v="1"/>
    <x v="70"/>
    <x v="0"/>
    <x v="1"/>
    <s v="Bayo A."/>
    <x v="1"/>
    <n v="15000"/>
    <n v="3"/>
    <n v="0.2"/>
    <n v="36000"/>
    <n v="211.9"/>
    <x v="1"/>
  </r>
  <r>
    <s v="ORD-20386"/>
    <n v="1"/>
    <x v="70"/>
    <x v="1"/>
    <x v="0"/>
    <s v="Chidinma O."/>
    <x v="0"/>
    <n v="65000"/>
    <n v="2"/>
    <n v="0.05"/>
    <n v="123500"/>
    <n v="479.26"/>
    <x v="0"/>
  </r>
  <r>
    <s v="ORD-20154"/>
    <n v="1"/>
    <x v="71"/>
    <x v="0"/>
    <x v="2"/>
    <s v="Tunde K."/>
    <x v="1"/>
    <n v="15000"/>
    <n v="1"/>
    <n v="0.15"/>
    <n v="12750"/>
    <n v="994.84"/>
    <x v="0"/>
  </r>
  <r>
    <s v="ORD-20016"/>
    <n v="1"/>
    <x v="71"/>
    <x v="0"/>
    <x v="6"/>
    <s v="Tunde K."/>
    <x v="4"/>
    <n v="5000"/>
    <n v="1"/>
    <n v="0"/>
    <n v="5000"/>
    <n v="0"/>
    <x v="0"/>
  </r>
  <r>
    <s v="ORD-20270"/>
    <n v="1"/>
    <x v="72"/>
    <x v="1"/>
    <x v="0"/>
    <s v="Tunde K."/>
    <x v="0"/>
    <n v="65000"/>
    <n v="1"/>
    <n v="0.15"/>
    <n v="55250"/>
    <n v="1909.49"/>
    <x v="1"/>
  </r>
  <r>
    <s v="ORD-20019"/>
    <n v="1"/>
    <x v="73"/>
    <x v="4"/>
    <x v="2"/>
    <s v="Emeka N."/>
    <x v="3"/>
    <n v="35000"/>
    <n v="2"/>
    <n v="0"/>
    <n v="70000"/>
    <n v="722.97"/>
    <x v="1"/>
  </r>
  <r>
    <s v="ORD-20305"/>
    <n v="1"/>
    <x v="74"/>
    <x v="3"/>
    <x v="1"/>
    <s v="Chidinma O."/>
    <x v="2"/>
    <n v="8000"/>
    <n v="2"/>
    <n v="0"/>
    <n v="16000"/>
    <n v="2239.44"/>
    <x v="1"/>
  </r>
  <r>
    <s v="ORD-20112"/>
    <n v="1"/>
    <x v="74"/>
    <x v="1"/>
    <x v="3"/>
    <s v="Bayo A."/>
    <x v="3"/>
    <n v="35000"/>
    <n v="1"/>
    <n v="0.2"/>
    <n v="28000"/>
    <n v="0"/>
    <x v="0"/>
  </r>
  <r>
    <s v="ORD-20294"/>
    <n v="1"/>
    <x v="75"/>
    <x v="5"/>
    <x v="6"/>
    <s v="Bayo A."/>
    <x v="1"/>
    <n v="15000"/>
    <n v="1"/>
    <n v="0"/>
    <n v="15000"/>
    <n v="0"/>
    <x v="0"/>
  </r>
  <r>
    <s v="ORD-20424"/>
    <n v="1"/>
    <x v="76"/>
    <x v="4"/>
    <x v="6"/>
    <s v="Chidinma O."/>
    <x v="3"/>
    <n v="35000"/>
    <n v="2"/>
    <n v="0"/>
    <n v="70000"/>
    <n v="0"/>
    <x v="0"/>
  </r>
  <r>
    <s v="ORD-20130"/>
    <n v="1"/>
    <x v="76"/>
    <x v="0"/>
    <x v="2"/>
    <s v="Nkechi U."/>
    <x v="3"/>
    <n v="35000"/>
    <n v="1"/>
    <n v="0.2"/>
    <n v="28000"/>
    <n v="2301.9899999999998"/>
    <x v="0"/>
  </r>
  <r>
    <s v="ORD-20240"/>
    <n v="1"/>
    <x v="77"/>
    <x v="3"/>
    <x v="2"/>
    <s v="Tunde K."/>
    <x v="1"/>
    <n v="15000"/>
    <n v="1"/>
    <n v="0"/>
    <n v="15000"/>
    <n v="2613.08"/>
    <x v="0"/>
  </r>
  <r>
    <s v="ORD-20230"/>
    <n v="1"/>
    <x v="78"/>
    <x v="1"/>
    <x v="1"/>
    <s v="Fatima S."/>
    <x v="2"/>
    <n v="8000"/>
    <n v="3"/>
    <n v="0.05"/>
    <n v="22800"/>
    <n v="1419.42"/>
    <x v="0"/>
  </r>
  <r>
    <s v="ORD-20078"/>
    <n v="1"/>
    <x v="78"/>
    <x v="4"/>
    <x v="2"/>
    <s v="Tunde K."/>
    <x v="3"/>
    <n v="35000"/>
    <n v="1"/>
    <n v="0.1"/>
    <n v="31500"/>
    <n v="2731.99"/>
    <x v="1"/>
  </r>
  <r>
    <s v="ORD-20344"/>
    <n v="1"/>
    <x v="79"/>
    <x v="3"/>
    <x v="4"/>
    <s v="Tunde K."/>
    <x v="0"/>
    <n v="65000"/>
    <n v="1"/>
    <n v="0.05"/>
    <n v="61750"/>
    <n v="2351.02"/>
    <x v="0"/>
  </r>
  <r>
    <s v="ORD-20381"/>
    <n v="1"/>
    <x v="79"/>
    <x v="4"/>
    <x v="7"/>
    <s v="Nkechi U."/>
    <x v="2"/>
    <n v="8000"/>
    <n v="2"/>
    <n v="0"/>
    <n v="16000"/>
    <n v="3281.66"/>
    <x v="0"/>
  </r>
  <r>
    <s v="ORD-20201"/>
    <n v="1"/>
    <x v="80"/>
    <x v="1"/>
    <x v="0"/>
    <s v="Bayo A."/>
    <x v="3"/>
    <n v="35000"/>
    <n v="2"/>
    <n v="0"/>
    <n v="70000"/>
    <n v="2706.68"/>
    <x v="1"/>
  </r>
  <r>
    <s v="ORD-20055"/>
    <n v="1"/>
    <x v="81"/>
    <x v="1"/>
    <x v="2"/>
    <s v="Emeka N."/>
    <x v="0"/>
    <n v="65000"/>
    <n v="3"/>
    <n v="0.05"/>
    <n v="185250"/>
    <n v="1204.7"/>
    <x v="1"/>
  </r>
  <r>
    <s v="ORD-20121"/>
    <n v="1"/>
    <x v="82"/>
    <x v="4"/>
    <x v="2"/>
    <s v="Fatima S."/>
    <x v="3"/>
    <n v="35000"/>
    <n v="2"/>
    <n v="0.05"/>
    <n v="66500"/>
    <n v="1104.33"/>
    <x v="0"/>
  </r>
  <r>
    <s v="ORD-20252"/>
    <n v="1"/>
    <x v="83"/>
    <x v="3"/>
    <x v="4"/>
    <s v="Chidinma O."/>
    <x v="1"/>
    <n v="15000"/>
    <n v="1"/>
    <n v="0"/>
    <n v="15000"/>
    <n v="2686.76"/>
    <x v="0"/>
  </r>
  <r>
    <s v="ORD-20053"/>
    <n v="1"/>
    <x v="84"/>
    <x v="0"/>
    <x v="4"/>
    <s v="Bayo A."/>
    <x v="3"/>
    <n v="35000"/>
    <n v="2"/>
    <n v="0"/>
    <n v="70000"/>
    <n v="3320.97"/>
    <x v="1"/>
  </r>
  <r>
    <s v="ORD-20376"/>
    <n v="1"/>
    <x v="84"/>
    <x v="3"/>
    <x v="2"/>
    <s v="Emeka N."/>
    <x v="3"/>
    <n v="35000"/>
    <n v="1"/>
    <n v="0"/>
    <n v="35000"/>
    <n v="1599.43"/>
    <x v="1"/>
  </r>
  <r>
    <s v="ORD-20045"/>
    <n v="1"/>
    <x v="85"/>
    <x v="2"/>
    <x v="6"/>
    <s v="Chidinma O."/>
    <x v="4"/>
    <n v="5000"/>
    <n v="2"/>
    <n v="0.15"/>
    <n v="8500"/>
    <n v="0"/>
    <x v="1"/>
  </r>
  <r>
    <s v="ORD-20143"/>
    <n v="1"/>
    <x v="86"/>
    <x v="3"/>
    <x v="2"/>
    <s v="Bayo A."/>
    <x v="3"/>
    <n v="35000"/>
    <n v="2"/>
    <n v="0"/>
    <n v="70000"/>
    <n v="2156.04"/>
    <x v="0"/>
  </r>
  <r>
    <s v="ORD-20156"/>
    <n v="1"/>
    <x v="87"/>
    <x v="1"/>
    <x v="0"/>
    <s v="Chidinma O."/>
    <x v="0"/>
    <n v="65000"/>
    <n v="3"/>
    <n v="0.2"/>
    <n v="156000"/>
    <n v="2230.23"/>
    <x v="1"/>
  </r>
  <r>
    <s v="ORD-20406"/>
    <n v="1"/>
    <x v="88"/>
    <x v="4"/>
    <x v="3"/>
    <s v="Fatima S."/>
    <x v="2"/>
    <n v="8000"/>
    <n v="1"/>
    <n v="0"/>
    <n v="8000"/>
    <n v="0"/>
    <x v="1"/>
  </r>
  <r>
    <s v="ORD-20265"/>
    <n v="1"/>
    <x v="89"/>
    <x v="4"/>
    <x v="1"/>
    <s v="Chidinma O."/>
    <x v="2"/>
    <n v="8000"/>
    <n v="1"/>
    <n v="0"/>
    <n v="8000"/>
    <n v="3206.49"/>
    <x v="0"/>
  </r>
  <r>
    <s v="ORD-20124"/>
    <n v="1"/>
    <x v="90"/>
    <x v="1"/>
    <x v="4"/>
    <s v="Bayo A."/>
    <x v="3"/>
    <n v="35000"/>
    <n v="2"/>
    <n v="0"/>
    <n v="70000"/>
    <n v="2162.79"/>
    <x v="1"/>
  </r>
  <r>
    <s v="ORD-20238"/>
    <n v="1"/>
    <x v="91"/>
    <x v="4"/>
    <x v="1"/>
    <s v="Nkechi U."/>
    <x v="4"/>
    <n v="5000"/>
    <n v="2"/>
    <n v="0.15"/>
    <n v="8500"/>
    <n v="1084.47"/>
    <x v="0"/>
  </r>
  <r>
    <s v="ORD-20208"/>
    <n v="1"/>
    <x v="92"/>
    <x v="3"/>
    <x v="3"/>
    <s v="Chidinma O."/>
    <x v="2"/>
    <n v="8000"/>
    <n v="2"/>
    <n v="0"/>
    <n v="16000"/>
    <n v="0"/>
    <x v="1"/>
  </r>
  <r>
    <s v="ORD-20251"/>
    <n v="1"/>
    <x v="93"/>
    <x v="3"/>
    <x v="4"/>
    <s v="Chidinma O."/>
    <x v="3"/>
    <n v="35000"/>
    <n v="2"/>
    <n v="0.1"/>
    <n v="63000"/>
    <n v="780.3"/>
    <x v="0"/>
  </r>
  <r>
    <s v="ORD-20098"/>
    <n v="1"/>
    <x v="94"/>
    <x v="3"/>
    <x v="6"/>
    <s v="Chidinma O."/>
    <x v="2"/>
    <n v="8000"/>
    <n v="3"/>
    <n v="0"/>
    <n v="24000"/>
    <n v="0"/>
    <x v="1"/>
  </r>
  <r>
    <s v="ORD-20351"/>
    <n v="1"/>
    <x v="95"/>
    <x v="0"/>
    <x v="1"/>
    <s v="Bayo A."/>
    <x v="4"/>
    <n v="5000"/>
    <n v="1"/>
    <n v="0.1"/>
    <n v="4500"/>
    <n v="645.15"/>
    <x v="0"/>
  </r>
  <r>
    <s v="ORD-20076"/>
    <n v="1"/>
    <x v="96"/>
    <x v="4"/>
    <x v="7"/>
    <s v="Chidinma O."/>
    <x v="1"/>
    <n v="15000"/>
    <n v="2"/>
    <n v="0.2"/>
    <n v="24000"/>
    <n v="1268.2"/>
    <x v="0"/>
  </r>
  <r>
    <s v="ORD-20449"/>
    <n v="1"/>
    <x v="96"/>
    <x v="1"/>
    <x v="4"/>
    <s v="Tunde K."/>
    <x v="1"/>
    <n v="15000"/>
    <n v="1"/>
    <n v="0.1"/>
    <n v="13500"/>
    <n v="1993.58"/>
    <x v="0"/>
  </r>
  <r>
    <s v="ORD-20177"/>
    <n v="1"/>
    <x v="97"/>
    <x v="4"/>
    <x v="3"/>
    <s v="Fatima S."/>
    <x v="3"/>
    <n v="35000"/>
    <n v="3"/>
    <n v="0"/>
    <n v="105000"/>
    <n v="0"/>
    <x v="0"/>
  </r>
  <r>
    <s v="ORD-20280"/>
    <n v="1"/>
    <x v="97"/>
    <x v="0"/>
    <x v="6"/>
    <s v="Tunde K."/>
    <x v="4"/>
    <n v="5000"/>
    <n v="1"/>
    <n v="0.2"/>
    <n v="4000"/>
    <n v="0"/>
    <x v="1"/>
  </r>
  <r>
    <s v="ORD-20151"/>
    <n v="1"/>
    <x v="98"/>
    <x v="4"/>
    <x v="4"/>
    <s v="Chidinma O."/>
    <x v="3"/>
    <n v="35000"/>
    <n v="1"/>
    <n v="0.05"/>
    <n v="33250"/>
    <n v="2500.4299999999998"/>
    <x v="0"/>
  </r>
  <r>
    <s v="ORD-20237"/>
    <n v="1"/>
    <x v="99"/>
    <x v="1"/>
    <x v="3"/>
    <s v="Emeka N."/>
    <x v="2"/>
    <n v="8000"/>
    <n v="3"/>
    <n v="0"/>
    <n v="24000"/>
    <n v="0"/>
    <x v="1"/>
  </r>
  <r>
    <s v="ORD-20037"/>
    <n v="1"/>
    <x v="99"/>
    <x v="4"/>
    <x v="2"/>
    <s v="Tunde K."/>
    <x v="4"/>
    <n v="5000"/>
    <n v="1"/>
    <n v="0.1"/>
    <n v="4500"/>
    <n v="892.65"/>
    <x v="1"/>
  </r>
  <r>
    <s v="ORD-20065"/>
    <n v="1"/>
    <x v="100"/>
    <x v="4"/>
    <x v="0"/>
    <s v="Nkechi U."/>
    <x v="2"/>
    <n v="8000"/>
    <n v="1"/>
    <n v="0.2"/>
    <n v="6400"/>
    <n v="1909.49"/>
    <x v="1"/>
  </r>
  <r>
    <s v="ORD-20139"/>
    <n v="1"/>
    <x v="101"/>
    <x v="4"/>
    <x v="1"/>
    <s v="Fatima S."/>
    <x v="0"/>
    <n v="65000"/>
    <n v="3"/>
    <n v="0.05"/>
    <n v="185250"/>
    <n v="3348.49"/>
    <x v="1"/>
  </r>
  <r>
    <s v="ORD-20172"/>
    <n v="1"/>
    <x v="101"/>
    <x v="4"/>
    <x v="0"/>
    <s v="Emeka N."/>
    <x v="0"/>
    <n v="65000"/>
    <n v="3"/>
    <n v="0"/>
    <n v="195000"/>
    <n v="1242.3900000000001"/>
    <x v="0"/>
  </r>
  <r>
    <s v="ORD-20415"/>
    <n v="1"/>
    <x v="102"/>
    <x v="1"/>
    <x v="1"/>
    <s v="Chidinma O."/>
    <x v="4"/>
    <n v="5000"/>
    <n v="1"/>
    <n v="0.05"/>
    <n v="4750"/>
    <n v="1241.29"/>
    <x v="0"/>
  </r>
  <r>
    <s v="ORD-20359"/>
    <n v="1"/>
    <x v="103"/>
    <x v="3"/>
    <x v="1"/>
    <s v="Tunde K."/>
    <x v="4"/>
    <n v="5000"/>
    <n v="2"/>
    <n v="0"/>
    <n v="10000"/>
    <n v="809.92"/>
    <x v="1"/>
  </r>
  <r>
    <s v="ORD-20266"/>
    <n v="1"/>
    <x v="104"/>
    <x v="4"/>
    <x v="6"/>
    <s v="Chidinma O."/>
    <x v="4"/>
    <n v="5000"/>
    <n v="3"/>
    <n v="0.15"/>
    <n v="12750"/>
    <n v="0"/>
    <x v="0"/>
  </r>
  <r>
    <s v="ORD-20103"/>
    <n v="1"/>
    <x v="105"/>
    <x v="4"/>
    <x v="5"/>
    <s v="Chidinma O."/>
    <x v="4"/>
    <n v="5000"/>
    <n v="3"/>
    <n v="0"/>
    <n v="15000"/>
    <n v="0"/>
    <x v="1"/>
  </r>
  <r>
    <s v="ORD-20422"/>
    <n v="1"/>
    <x v="106"/>
    <x v="1"/>
    <x v="6"/>
    <s v="Tunde K."/>
    <x v="1"/>
    <n v="15000"/>
    <n v="2"/>
    <n v="0.15"/>
    <n v="25500"/>
    <n v="0"/>
    <x v="1"/>
  </r>
  <r>
    <s v="ORD-20356"/>
    <n v="1"/>
    <x v="107"/>
    <x v="4"/>
    <x v="6"/>
    <s v="Tunde K."/>
    <x v="3"/>
    <n v="35000"/>
    <n v="2"/>
    <n v="0"/>
    <n v="70000"/>
    <n v="0"/>
    <x v="1"/>
  </r>
  <r>
    <s v="ORD-20198"/>
    <n v="1"/>
    <x v="108"/>
    <x v="4"/>
    <x v="0"/>
    <s v="Chidinma O."/>
    <x v="3"/>
    <n v="35000"/>
    <n v="2"/>
    <n v="0.1"/>
    <n v="63000"/>
    <n v="2633.52"/>
    <x v="0"/>
  </r>
  <r>
    <s v="ORD-20434"/>
    <n v="1"/>
    <x v="108"/>
    <x v="2"/>
    <x v="7"/>
    <s v="Fatima S."/>
    <x v="0"/>
    <n v="65000"/>
    <n v="1"/>
    <n v="0.05"/>
    <n v="61750"/>
    <n v="2210.65"/>
    <x v="0"/>
  </r>
  <r>
    <s v="ORD-20108"/>
    <n v="1"/>
    <x v="109"/>
    <x v="3"/>
    <x v="0"/>
    <s v="Tunde K."/>
    <x v="0"/>
    <n v="65000"/>
    <n v="1"/>
    <n v="0"/>
    <n v="65000"/>
    <n v="2540.61"/>
    <x v="0"/>
  </r>
  <r>
    <s v="ORD-20289"/>
    <n v="1"/>
    <x v="110"/>
    <x v="1"/>
    <x v="2"/>
    <s v="Tunde K."/>
    <x v="1"/>
    <n v="15000"/>
    <n v="1"/>
    <n v="0.05"/>
    <n v="14250"/>
    <n v="1128.27"/>
    <x v="1"/>
  </r>
  <r>
    <s v="ORD-20227"/>
    <n v="1"/>
    <x v="110"/>
    <x v="1"/>
    <x v="4"/>
    <s v="Chidinma O."/>
    <x v="2"/>
    <n v="8000"/>
    <n v="1"/>
    <n v="0.1"/>
    <n v="7200"/>
    <n v="211.54"/>
    <x v="0"/>
  </r>
  <r>
    <s v="ORD-20100"/>
    <n v="1"/>
    <x v="111"/>
    <x v="3"/>
    <x v="3"/>
    <s v="Nkechi U."/>
    <x v="1"/>
    <n v="15000"/>
    <n v="1"/>
    <n v="0.15"/>
    <n v="12750"/>
    <n v="0"/>
    <x v="0"/>
  </r>
  <r>
    <s v="ORD-20435"/>
    <n v="1"/>
    <x v="112"/>
    <x v="3"/>
    <x v="2"/>
    <s v="Nkechi U."/>
    <x v="2"/>
    <n v="8000"/>
    <n v="2"/>
    <n v="0"/>
    <n v="16000"/>
    <n v="2336.48"/>
    <x v="0"/>
  </r>
  <r>
    <s v="ORD-20047"/>
    <n v="1"/>
    <x v="113"/>
    <x v="3"/>
    <x v="6"/>
    <s v="Nkechi U."/>
    <x v="4"/>
    <n v="5000"/>
    <n v="3"/>
    <n v="0.05"/>
    <n v="14250"/>
    <n v="0"/>
    <x v="1"/>
  </r>
  <r>
    <s v="ORD-20046"/>
    <n v="1"/>
    <x v="114"/>
    <x v="2"/>
    <x v="1"/>
    <s v="N/A - Self-Serve."/>
    <x v="0"/>
    <n v="65000"/>
    <n v="2"/>
    <n v="0.15"/>
    <n v="110500"/>
    <n v="1498.6"/>
    <x v="1"/>
  </r>
  <r>
    <s v="ORD-20179"/>
    <n v="1"/>
    <x v="114"/>
    <x v="3"/>
    <x v="0"/>
    <s v="Bayo A."/>
    <x v="3"/>
    <n v="35000"/>
    <n v="3"/>
    <n v="0.15"/>
    <n v="89250"/>
    <n v="1726.98"/>
    <x v="0"/>
  </r>
  <r>
    <s v="ORD-20418"/>
    <n v="1"/>
    <x v="115"/>
    <x v="3"/>
    <x v="4"/>
    <s v="Bayo A."/>
    <x v="3"/>
    <n v="35000"/>
    <n v="3"/>
    <n v="0.1"/>
    <n v="94500"/>
    <n v="1635.86"/>
    <x v="1"/>
  </r>
  <r>
    <s v="ORD-20034"/>
    <n v="1"/>
    <x v="116"/>
    <x v="2"/>
    <x v="6"/>
    <s v="Bayo A."/>
    <x v="4"/>
    <n v="5000"/>
    <n v="2"/>
    <n v="0.15"/>
    <n v="8500"/>
    <n v="0"/>
    <x v="0"/>
  </r>
  <r>
    <s v="ORD-20345"/>
    <n v="1"/>
    <x v="117"/>
    <x v="3"/>
    <x v="4"/>
    <s v="Tunde K."/>
    <x v="4"/>
    <n v="5000"/>
    <n v="3"/>
    <n v="0"/>
    <n v="15000"/>
    <n v="2606.4699999999998"/>
    <x v="1"/>
  </r>
  <r>
    <s v="ORD-20272"/>
    <n v="1"/>
    <x v="117"/>
    <x v="1"/>
    <x v="1"/>
    <s v="Bayo A."/>
    <x v="3"/>
    <n v="35000"/>
    <n v="1"/>
    <n v="0.2"/>
    <n v="28000"/>
    <n v="1888.29"/>
    <x v="0"/>
  </r>
  <r>
    <s v="ORD-20006"/>
    <n v="1"/>
    <x v="117"/>
    <x v="2"/>
    <x v="4"/>
    <s v="Bayo A."/>
    <x v="4"/>
    <n v="5000"/>
    <n v="1"/>
    <n v="0.15"/>
    <n v="4250"/>
    <n v="1709.19"/>
    <x v="0"/>
  </r>
  <r>
    <s v="ORD-20382"/>
    <n v="1"/>
    <x v="118"/>
    <x v="1"/>
    <x v="5"/>
    <s v="Fatima S."/>
    <x v="3"/>
    <n v="35000"/>
    <n v="3"/>
    <n v="0"/>
    <n v="105000"/>
    <n v="0"/>
    <x v="1"/>
  </r>
  <r>
    <s v="ORD-20387"/>
    <n v="1"/>
    <x v="118"/>
    <x v="4"/>
    <x v="0"/>
    <s v="Bayo A."/>
    <x v="1"/>
    <n v="15000"/>
    <n v="1"/>
    <n v="0"/>
    <n v="15000"/>
    <n v="1606.44"/>
    <x v="0"/>
  </r>
  <r>
    <s v="ORD-20101"/>
    <n v="1"/>
    <x v="118"/>
    <x v="3"/>
    <x v="5"/>
    <s v="Emeka N."/>
    <x v="4"/>
    <n v="5000"/>
    <n v="2"/>
    <n v="0"/>
    <n v="10000"/>
    <n v="0"/>
    <x v="0"/>
  </r>
  <r>
    <s v="ORD-20174"/>
    <n v="1"/>
    <x v="119"/>
    <x v="3"/>
    <x v="3"/>
    <s v="Fatima S."/>
    <x v="1"/>
    <n v="15000"/>
    <n v="3"/>
    <n v="0"/>
    <n v="45000"/>
    <n v="0"/>
    <x v="1"/>
  </r>
  <r>
    <s v="ORD-20368"/>
    <n v="1"/>
    <x v="120"/>
    <x v="4"/>
    <x v="0"/>
    <s v="Bayo A."/>
    <x v="3"/>
    <n v="35000"/>
    <n v="3"/>
    <n v="0.15"/>
    <n v="89250"/>
    <n v="1412.26"/>
    <x v="1"/>
  </r>
  <r>
    <s v="ORD-20043"/>
    <n v="1"/>
    <x v="121"/>
    <x v="1"/>
    <x v="1"/>
    <s v="Bayo A."/>
    <x v="1"/>
    <n v="15000"/>
    <n v="3"/>
    <n v="0"/>
    <n v="45000"/>
    <n v="559.77"/>
    <x v="0"/>
  </r>
  <r>
    <s v="ORD-20153"/>
    <n v="1"/>
    <x v="122"/>
    <x v="3"/>
    <x v="3"/>
    <s v="Tunde K."/>
    <x v="2"/>
    <n v="8000"/>
    <n v="1"/>
    <n v="0"/>
    <n v="8000"/>
    <n v="0"/>
    <x v="0"/>
  </r>
  <r>
    <s v="ORD-20275"/>
    <n v="1"/>
    <x v="122"/>
    <x v="0"/>
    <x v="5"/>
    <s v="Bayo A."/>
    <x v="1"/>
    <n v="15000"/>
    <n v="2"/>
    <n v="0.05"/>
    <n v="28500"/>
    <n v="0"/>
    <x v="1"/>
  </r>
  <r>
    <s v="ORD-20410"/>
    <n v="1"/>
    <x v="123"/>
    <x v="3"/>
    <x v="1"/>
    <s v="Nkechi U."/>
    <x v="1"/>
    <n v="15000"/>
    <n v="1"/>
    <n v="0.15"/>
    <n v="12750"/>
    <n v="1009.23"/>
    <x v="0"/>
  </r>
  <r>
    <s v="ORD-20050"/>
    <n v="1"/>
    <x v="124"/>
    <x v="2"/>
    <x v="5"/>
    <s v="Tunde K."/>
    <x v="1"/>
    <n v="15000"/>
    <n v="1"/>
    <n v="0.1"/>
    <n v="13500"/>
    <n v="0"/>
    <x v="0"/>
  </r>
  <r>
    <s v="ORD-20165"/>
    <n v="1"/>
    <x v="124"/>
    <x v="1"/>
    <x v="2"/>
    <s v="Bayo A."/>
    <x v="1"/>
    <n v="15000"/>
    <n v="2"/>
    <n v="0.15"/>
    <n v="25500"/>
    <n v="1200.1400000000001"/>
    <x v="1"/>
  </r>
  <r>
    <s v="ORD-20159"/>
    <n v="1"/>
    <x v="125"/>
    <x v="3"/>
    <x v="4"/>
    <s v="Chidinma O."/>
    <x v="1"/>
    <n v="15000"/>
    <n v="3"/>
    <n v="0.2"/>
    <n v="36000"/>
    <n v="2581.38"/>
    <x v="1"/>
  </r>
  <r>
    <s v="ORD-20445"/>
    <n v="1"/>
    <x v="126"/>
    <x v="3"/>
    <x v="4"/>
    <s v="N/A - Self-Serve."/>
    <x v="4"/>
    <n v="5000"/>
    <n v="1"/>
    <n v="0.1"/>
    <n v="4500"/>
    <n v="1746.4"/>
    <x v="0"/>
  </r>
  <r>
    <s v="ORD-20303"/>
    <n v="1"/>
    <x v="127"/>
    <x v="1"/>
    <x v="5"/>
    <s v="Bayo A."/>
    <x v="4"/>
    <n v="5000"/>
    <n v="1"/>
    <n v="0"/>
    <n v="5000"/>
    <n v="0"/>
    <x v="1"/>
  </r>
  <r>
    <s v="ORD-20431"/>
    <n v="1"/>
    <x v="128"/>
    <x v="4"/>
    <x v="6"/>
    <s v="Bayo A."/>
    <x v="3"/>
    <n v="35000"/>
    <n v="1"/>
    <n v="0"/>
    <n v="35000"/>
    <n v="0"/>
    <x v="1"/>
  </r>
  <r>
    <s v="ORD-20320"/>
    <n v="1"/>
    <x v="129"/>
    <x v="3"/>
    <x v="0"/>
    <s v="Nkechi U."/>
    <x v="1"/>
    <n v="15000"/>
    <n v="1"/>
    <n v="0"/>
    <n v="15000"/>
    <n v="2801.4"/>
    <x v="1"/>
  </r>
  <r>
    <s v="ORD-20235"/>
    <n v="1"/>
    <x v="130"/>
    <x v="1"/>
    <x v="4"/>
    <s v="Emeka N."/>
    <x v="0"/>
    <n v="65000"/>
    <n v="1"/>
    <n v="0"/>
    <n v="65000"/>
    <n v="2980.95"/>
    <x v="1"/>
  </r>
  <r>
    <s v="ORD-20299"/>
    <n v="1"/>
    <x v="131"/>
    <x v="3"/>
    <x v="5"/>
    <s v="Nkechi U."/>
    <x v="1"/>
    <n v="15000"/>
    <n v="2"/>
    <n v="0.05"/>
    <n v="28500"/>
    <n v="0"/>
    <x v="0"/>
  </r>
  <r>
    <s v="ORD-20192"/>
    <n v="1"/>
    <x v="132"/>
    <x v="0"/>
    <x v="5"/>
    <s v="Bayo A."/>
    <x v="3"/>
    <n v="35000"/>
    <n v="2"/>
    <n v="0.15"/>
    <n v="59500"/>
    <n v="0"/>
    <x v="0"/>
  </r>
  <r>
    <s v="ORD-20352"/>
    <n v="1"/>
    <x v="133"/>
    <x v="3"/>
    <x v="1"/>
    <s v="Nkechi U."/>
    <x v="3"/>
    <n v="35000"/>
    <n v="3"/>
    <n v="0"/>
    <n v="105000"/>
    <n v="3420.88"/>
    <x v="1"/>
  </r>
  <r>
    <s v="ORD-20085"/>
    <n v="1"/>
    <x v="134"/>
    <x v="0"/>
    <x v="0"/>
    <s v="Chidinma O."/>
    <x v="0"/>
    <n v="65000"/>
    <n v="1"/>
    <n v="0.1"/>
    <n v="58500"/>
    <n v="3391.55"/>
    <x v="0"/>
  </r>
  <r>
    <s v="ORD-20311"/>
    <n v="1"/>
    <x v="134"/>
    <x v="4"/>
    <x v="3"/>
    <s v="Bayo A."/>
    <x v="0"/>
    <n v="65000"/>
    <n v="1"/>
    <n v="0.05"/>
    <n v="61750"/>
    <n v="0"/>
    <x v="1"/>
  </r>
  <r>
    <s v="ORD-20061"/>
    <n v="1"/>
    <x v="135"/>
    <x v="4"/>
    <x v="0"/>
    <s v="Nkechi U."/>
    <x v="1"/>
    <n v="15000"/>
    <n v="1"/>
    <n v="0"/>
    <n v="15000"/>
    <n v="949.96"/>
    <x v="1"/>
  </r>
  <r>
    <s v="ORD-20210"/>
    <n v="1"/>
    <x v="135"/>
    <x v="2"/>
    <x v="1"/>
    <s v="Nkechi U."/>
    <x v="4"/>
    <n v="5000"/>
    <n v="3"/>
    <n v="0.05"/>
    <n v="14250"/>
    <n v="3104.39"/>
    <x v="0"/>
  </r>
  <r>
    <s v="ORD-20360"/>
    <n v="1"/>
    <x v="135"/>
    <x v="0"/>
    <x v="4"/>
    <s v="Fatima S."/>
    <x v="2"/>
    <n v="8000"/>
    <n v="1"/>
    <n v="0"/>
    <n v="8000"/>
    <n v="966.31"/>
    <x v="0"/>
  </r>
  <r>
    <s v="ORD-20309"/>
    <n v="1"/>
    <x v="136"/>
    <x v="1"/>
    <x v="0"/>
    <s v="Emeka N."/>
    <x v="4"/>
    <n v="5000"/>
    <n v="1"/>
    <n v="0.05"/>
    <n v="4750"/>
    <n v="2358.2800000000002"/>
    <x v="0"/>
  </r>
  <r>
    <s v="ORD-20204"/>
    <n v="1"/>
    <x v="137"/>
    <x v="2"/>
    <x v="2"/>
    <s v="Emeka N."/>
    <x v="2"/>
    <n v="8000"/>
    <n v="3"/>
    <n v="0.15"/>
    <n v="20400"/>
    <n v="1086.45"/>
    <x v="0"/>
  </r>
  <r>
    <s v="ORD-20254"/>
    <n v="1"/>
    <x v="138"/>
    <x v="3"/>
    <x v="4"/>
    <s v="Bayo A."/>
    <x v="4"/>
    <n v="5000"/>
    <n v="2"/>
    <n v="0"/>
    <n v="10000"/>
    <n v="3289.25"/>
    <x v="1"/>
  </r>
  <r>
    <s v="ORD-20340"/>
    <n v="1"/>
    <x v="138"/>
    <x v="3"/>
    <x v="2"/>
    <s v="Nkechi U."/>
    <x v="3"/>
    <n v="35000"/>
    <n v="1"/>
    <n v="0"/>
    <n v="35000"/>
    <n v="1972.79"/>
    <x v="0"/>
  </r>
  <r>
    <s v="ORD-20285"/>
    <n v="1"/>
    <x v="139"/>
    <x v="4"/>
    <x v="2"/>
    <s v="Fatima S."/>
    <x v="0"/>
    <n v="65000"/>
    <n v="2"/>
    <n v="0.05"/>
    <n v="123500"/>
    <n v="1707.42"/>
    <x v="0"/>
  </r>
  <r>
    <s v="ORD-20131"/>
    <n v="1"/>
    <x v="139"/>
    <x v="3"/>
    <x v="1"/>
    <s v="Nkechi U."/>
    <x v="3"/>
    <n v="35000"/>
    <n v="2"/>
    <n v="0.2"/>
    <n v="56000"/>
    <n v="204.51"/>
    <x v="1"/>
  </r>
  <r>
    <s v="ORD-20290"/>
    <n v="1"/>
    <x v="140"/>
    <x v="1"/>
    <x v="1"/>
    <s v="Emeka N."/>
    <x v="1"/>
    <n v="15000"/>
    <n v="3"/>
    <n v="0.1"/>
    <n v="40500"/>
    <n v="249.92"/>
    <x v="0"/>
  </r>
  <r>
    <s v="ORD-20052"/>
    <n v="1"/>
    <x v="141"/>
    <x v="1"/>
    <x v="2"/>
    <s v="Bayo A."/>
    <x v="1"/>
    <n v="15000"/>
    <n v="1"/>
    <n v="0.2"/>
    <n v="12000"/>
    <n v="1615.48"/>
    <x v="0"/>
  </r>
  <r>
    <s v="ORD-20041"/>
    <n v="1"/>
    <x v="142"/>
    <x v="0"/>
    <x v="4"/>
    <s v="Fatima S."/>
    <x v="0"/>
    <n v="65000"/>
    <n v="2"/>
    <n v="0"/>
    <n v="130000"/>
    <n v="2342.65"/>
    <x v="0"/>
  </r>
  <r>
    <s v="ORD-20025"/>
    <n v="1"/>
    <x v="143"/>
    <x v="3"/>
    <x v="5"/>
    <s v="Bayo A."/>
    <x v="2"/>
    <n v="8000"/>
    <n v="2"/>
    <n v="0"/>
    <n v="16000"/>
    <n v="0"/>
    <x v="0"/>
  </r>
  <r>
    <s v="ORD-20321"/>
    <n v="1"/>
    <x v="144"/>
    <x v="5"/>
    <x v="1"/>
    <s v="Bayo A."/>
    <x v="4"/>
    <n v="5000"/>
    <n v="1"/>
    <n v="0.05"/>
    <n v="4750"/>
    <n v="2021.9"/>
    <x v="0"/>
  </r>
  <r>
    <s v="ORD-20244"/>
    <n v="1"/>
    <x v="144"/>
    <x v="3"/>
    <x v="4"/>
    <s v="Bayo A."/>
    <x v="4"/>
    <n v="5000"/>
    <n v="1"/>
    <n v="0.2"/>
    <n v="4000"/>
    <n v="2035.4"/>
    <x v="0"/>
  </r>
  <r>
    <s v="ORD-20062"/>
    <n v="1"/>
    <x v="145"/>
    <x v="2"/>
    <x v="3"/>
    <s v="Bayo A."/>
    <x v="0"/>
    <n v="65000"/>
    <n v="1"/>
    <n v="0.1"/>
    <n v="58500"/>
    <n v="0"/>
    <x v="0"/>
  </r>
  <r>
    <s v="ORD-20008"/>
    <n v="1"/>
    <x v="146"/>
    <x v="3"/>
    <x v="4"/>
    <s v="Bayo A."/>
    <x v="1"/>
    <n v="15000"/>
    <n v="2"/>
    <n v="0.2"/>
    <n v="24000"/>
    <n v="1521.32"/>
    <x v="0"/>
  </r>
  <r>
    <s v="ORD-20433"/>
    <n v="1"/>
    <x v="147"/>
    <x v="0"/>
    <x v="0"/>
    <s v="Tunde K."/>
    <x v="3"/>
    <n v="35000"/>
    <n v="2"/>
    <n v="0.15"/>
    <n v="59500"/>
    <n v="2507.66"/>
    <x v="0"/>
  </r>
  <r>
    <s v="ORD-20341"/>
    <n v="1"/>
    <x v="148"/>
    <x v="3"/>
    <x v="3"/>
    <s v="Fatima S."/>
    <x v="0"/>
    <n v="65000"/>
    <n v="2"/>
    <n v="0"/>
    <n v="130000"/>
    <n v="0"/>
    <x v="1"/>
  </r>
  <r>
    <s v="ORD-20169"/>
    <n v="1"/>
    <x v="149"/>
    <x v="3"/>
    <x v="4"/>
    <s v="Nkechi U."/>
    <x v="0"/>
    <n v="65000"/>
    <n v="1"/>
    <n v="0"/>
    <n v="65000"/>
    <n v="406.69"/>
    <x v="1"/>
  </r>
  <r>
    <s v="ORD-20222"/>
    <n v="1"/>
    <x v="150"/>
    <x v="2"/>
    <x v="0"/>
    <s v="Chidinma O."/>
    <x v="3"/>
    <n v="35000"/>
    <n v="3"/>
    <n v="0.05"/>
    <n v="99750"/>
    <n v="2230.35"/>
    <x v="0"/>
  </r>
  <r>
    <s v="ORD-20196"/>
    <n v="1"/>
    <x v="151"/>
    <x v="2"/>
    <x v="0"/>
    <s v="Emeka N."/>
    <x v="4"/>
    <n v="5000"/>
    <n v="1"/>
    <n v="0"/>
    <n v="5000"/>
    <n v="1175.81"/>
    <x v="0"/>
  </r>
  <r>
    <s v="ORD-20419"/>
    <n v="1"/>
    <x v="151"/>
    <x v="4"/>
    <x v="4"/>
    <s v="Tunde K."/>
    <x v="2"/>
    <n v="8000"/>
    <n v="1"/>
    <n v="0.1"/>
    <n v="7200"/>
    <n v="2058.81"/>
    <x v="1"/>
  </r>
  <r>
    <s v="ORD-20081"/>
    <n v="1"/>
    <x v="152"/>
    <x v="3"/>
    <x v="6"/>
    <s v="Nkechi U."/>
    <x v="3"/>
    <n v="35000"/>
    <n v="3"/>
    <n v="0.05"/>
    <n v="99750"/>
    <n v="0"/>
    <x v="0"/>
  </r>
  <r>
    <s v="ORD-20308"/>
    <n v="1"/>
    <x v="153"/>
    <x v="4"/>
    <x v="6"/>
    <s v="Bayo A."/>
    <x v="4"/>
    <n v="5000"/>
    <n v="2"/>
    <n v="0"/>
    <n v="10000"/>
    <n v="0"/>
    <x v="1"/>
  </r>
  <r>
    <s v="ORD-20391"/>
    <n v="1"/>
    <x v="154"/>
    <x v="0"/>
    <x v="1"/>
    <s v="Tunde K."/>
    <x v="1"/>
    <n v="15000"/>
    <n v="1"/>
    <n v="0.1"/>
    <n v="13500"/>
    <n v="1753.99"/>
    <x v="1"/>
  </r>
  <r>
    <s v="ORD-20015"/>
    <n v="1"/>
    <x v="155"/>
    <x v="3"/>
    <x v="3"/>
    <s v="Bayo A."/>
    <x v="3"/>
    <n v="35000"/>
    <n v="1"/>
    <n v="0.05"/>
    <n v="33250"/>
    <n v="0"/>
    <x v="0"/>
  </r>
  <r>
    <s v="ORD-20378"/>
    <n v="1"/>
    <x v="155"/>
    <x v="3"/>
    <x v="1"/>
    <s v="Tunde K."/>
    <x v="0"/>
    <n v="65000"/>
    <n v="1"/>
    <n v="0.2"/>
    <n v="52000"/>
    <n v="2469.5300000000002"/>
    <x v="0"/>
  </r>
  <r>
    <s v="ORD-20136"/>
    <n v="1"/>
    <x v="156"/>
    <x v="3"/>
    <x v="5"/>
    <s v="Nkechi U."/>
    <x v="1"/>
    <n v="15000"/>
    <n v="1"/>
    <n v="0"/>
    <n v="15000"/>
    <n v="0"/>
    <x v="0"/>
  </r>
  <r>
    <s v="ORD-20370"/>
    <n v="1"/>
    <x v="157"/>
    <x v="1"/>
    <x v="6"/>
    <s v="Fatima S."/>
    <x v="3"/>
    <n v="35000"/>
    <n v="2"/>
    <n v="0"/>
    <n v="70000"/>
    <n v="0"/>
    <x v="0"/>
  </r>
  <r>
    <s v="ORD-20148"/>
    <n v="1"/>
    <x v="157"/>
    <x v="3"/>
    <x v="4"/>
    <s v="Emeka N."/>
    <x v="1"/>
    <n v="15000"/>
    <n v="2"/>
    <n v="0.05"/>
    <n v="28500"/>
    <n v="1880.9"/>
    <x v="0"/>
  </r>
  <r>
    <s v="ORD-20219"/>
    <n v="1"/>
    <x v="158"/>
    <x v="1"/>
    <x v="4"/>
    <s v="Bayo A."/>
    <x v="4"/>
    <n v="5000"/>
    <n v="1"/>
    <n v="0"/>
    <n v="5000"/>
    <n v="3210.99"/>
    <x v="0"/>
  </r>
  <r>
    <s v="ORD-20097"/>
    <n v="1"/>
    <x v="159"/>
    <x v="2"/>
    <x v="1"/>
    <s v="Emeka N."/>
    <x v="0"/>
    <n v="65000"/>
    <n v="1"/>
    <n v="0.1"/>
    <n v="58500"/>
    <n v="2289.23"/>
    <x v="1"/>
  </r>
  <r>
    <s v="ORD-20348"/>
    <n v="1"/>
    <x v="159"/>
    <x v="0"/>
    <x v="2"/>
    <s v="Bayo A."/>
    <x v="3"/>
    <n v="35000"/>
    <n v="1"/>
    <n v="0.15"/>
    <n v="29750"/>
    <n v="664.4"/>
    <x v="1"/>
  </r>
  <r>
    <s v="ORD-20141"/>
    <n v="1"/>
    <x v="160"/>
    <x v="3"/>
    <x v="6"/>
    <s v="Tunde K."/>
    <x v="2"/>
    <n v="8000"/>
    <n v="2"/>
    <n v="0.15"/>
    <n v="13600"/>
    <n v="0"/>
    <x v="1"/>
  </r>
  <r>
    <s v="ORD-20393"/>
    <n v="1"/>
    <x v="161"/>
    <x v="3"/>
    <x v="1"/>
    <s v="Fatima S."/>
    <x v="3"/>
    <n v="35000"/>
    <n v="2"/>
    <n v="0.15"/>
    <n v="59500"/>
    <n v="3450.58"/>
    <x v="0"/>
  </r>
  <r>
    <s v="ORD-20209"/>
    <n v="1"/>
    <x v="162"/>
    <x v="3"/>
    <x v="0"/>
    <s v="Nkechi U."/>
    <x v="4"/>
    <n v="5000"/>
    <n v="2"/>
    <n v="0.1"/>
    <n v="9000"/>
    <n v="1905.97"/>
    <x v="0"/>
  </r>
  <r>
    <s v="ORD-20175"/>
    <n v="1"/>
    <x v="163"/>
    <x v="2"/>
    <x v="1"/>
    <s v="Tunde K."/>
    <x v="4"/>
    <n v="5000"/>
    <n v="3"/>
    <n v="0"/>
    <n v="15000"/>
    <n v="2496.64"/>
    <x v="1"/>
  </r>
  <r>
    <s v="ORD-20191"/>
    <n v="1"/>
    <x v="164"/>
    <x v="3"/>
    <x v="3"/>
    <s v="Nkechi U."/>
    <x v="2"/>
    <n v="8000"/>
    <n v="2"/>
    <n v="0"/>
    <n v="16000"/>
    <n v="0"/>
    <x v="1"/>
  </r>
  <r>
    <s v="ORD-20091"/>
    <n v="1"/>
    <x v="165"/>
    <x v="3"/>
    <x v="0"/>
    <s v="Tunde K."/>
    <x v="1"/>
    <n v="15000"/>
    <n v="2"/>
    <n v="0.15"/>
    <n v="25500"/>
    <n v="442.56"/>
    <x v="1"/>
  </r>
  <r>
    <s v="ORD-20281"/>
    <n v="1"/>
    <x v="165"/>
    <x v="4"/>
    <x v="3"/>
    <s v="Emeka N."/>
    <x v="2"/>
    <n v="8000"/>
    <n v="1"/>
    <n v="0.15"/>
    <n v="6800"/>
    <n v="0"/>
    <x v="1"/>
  </r>
  <r>
    <s v="ORD-20193"/>
    <n v="1"/>
    <x v="166"/>
    <x v="3"/>
    <x v="0"/>
    <s v="Emeka N."/>
    <x v="4"/>
    <n v="5000"/>
    <n v="1"/>
    <n v="0.15"/>
    <n v="4250"/>
    <n v="2522.42"/>
    <x v="0"/>
  </r>
  <r>
    <s v="ORD-20295"/>
    <n v="1"/>
    <x v="166"/>
    <x v="3"/>
    <x v="3"/>
    <s v="Chidinma O."/>
    <x v="2"/>
    <n v="8000"/>
    <n v="1"/>
    <n v="0"/>
    <n v="8000"/>
    <n v="0"/>
    <x v="1"/>
  </r>
  <r>
    <s v="ORD-20379"/>
    <n v="1"/>
    <x v="167"/>
    <x v="2"/>
    <x v="8"/>
    <s v="Chidinma O."/>
    <x v="0"/>
    <n v="65000"/>
    <n v="1"/>
    <n v="0.1"/>
    <n v="58500"/>
    <n v="0"/>
    <x v="1"/>
  </r>
  <r>
    <s v="ORD-20147"/>
    <n v="1"/>
    <x v="168"/>
    <x v="3"/>
    <x v="4"/>
    <s v="Fatima S."/>
    <x v="2"/>
    <n v="8000"/>
    <n v="2"/>
    <n v="0"/>
    <n v="16000"/>
    <n v="1292.3499999999999"/>
    <x v="0"/>
  </r>
  <r>
    <s v="ORD-20367"/>
    <n v="1"/>
    <x v="169"/>
    <x v="0"/>
    <x v="2"/>
    <s v="Tunde K."/>
    <x v="3"/>
    <n v="35000"/>
    <n v="1"/>
    <n v="0"/>
    <n v="35000"/>
    <n v="3320.49"/>
    <x v="1"/>
  </r>
  <r>
    <s v="ORD-20163"/>
    <n v="1"/>
    <x v="170"/>
    <x v="3"/>
    <x v="1"/>
    <s v="N/A - Self-Serve."/>
    <x v="0"/>
    <n v="65000"/>
    <n v="3"/>
    <n v="0.1"/>
    <n v="175500"/>
    <n v="2615.62"/>
    <x v="0"/>
  </r>
  <r>
    <s v="ORD-20164"/>
    <n v="1"/>
    <x v="171"/>
    <x v="4"/>
    <x v="6"/>
    <s v="Bayo A."/>
    <x v="2"/>
    <n v="8000"/>
    <n v="1"/>
    <n v="0"/>
    <n v="8000"/>
    <n v="0"/>
    <x v="1"/>
  </r>
  <r>
    <s v="ORD-20258"/>
    <n v="1"/>
    <x v="171"/>
    <x v="1"/>
    <x v="3"/>
    <s v="Nkechi U."/>
    <x v="0"/>
    <n v="65000"/>
    <n v="1"/>
    <n v="0"/>
    <n v="65000"/>
    <n v="0"/>
    <x v="1"/>
  </r>
  <r>
    <s v="ORD-20441"/>
    <n v="1"/>
    <x v="172"/>
    <x v="3"/>
    <x v="4"/>
    <s v="Chidinma O."/>
    <x v="4"/>
    <n v="5000"/>
    <n v="1"/>
    <n v="0"/>
    <n v="5000"/>
    <n v="1374.38"/>
    <x v="0"/>
  </r>
  <r>
    <s v="ORD-20339"/>
    <n v="1"/>
    <x v="173"/>
    <x v="3"/>
    <x v="4"/>
    <s v="Fatima S."/>
    <x v="1"/>
    <n v="15000"/>
    <n v="3"/>
    <n v="0.2"/>
    <n v="36000"/>
    <n v="2207.11"/>
    <x v="1"/>
  </r>
  <r>
    <s v="ORD-20188"/>
    <n v="1"/>
    <x v="173"/>
    <x v="1"/>
    <x v="3"/>
    <s v="Bayo A."/>
    <x v="2"/>
    <n v="8000"/>
    <n v="1"/>
    <n v="0.1"/>
    <n v="7200"/>
    <n v="0"/>
    <x v="1"/>
  </r>
  <r>
    <s v="ORD-20049"/>
    <n v="1"/>
    <x v="174"/>
    <x v="1"/>
    <x v="5"/>
    <s v="Bayo A."/>
    <x v="1"/>
    <n v="15000"/>
    <n v="3"/>
    <n v="0.2"/>
    <n v="36000"/>
    <n v="0"/>
    <x v="1"/>
  </r>
  <r>
    <s v="ORD-20216"/>
    <n v="1"/>
    <x v="175"/>
    <x v="4"/>
    <x v="6"/>
    <s v="Emeka N."/>
    <x v="4"/>
    <n v="5000"/>
    <n v="3"/>
    <n v="0"/>
    <n v="15000"/>
    <n v="0"/>
    <x v="1"/>
  </r>
  <r>
    <s v="ORD-20032"/>
    <n v="1"/>
    <x v="176"/>
    <x v="0"/>
    <x v="2"/>
    <s v="Bayo A."/>
    <x v="2"/>
    <n v="8000"/>
    <n v="2"/>
    <n v="0.05"/>
    <n v="15200"/>
    <n v="2966.62"/>
    <x v="0"/>
  </r>
  <r>
    <s v="ORD-20358"/>
    <n v="1"/>
    <x v="177"/>
    <x v="0"/>
    <x v="4"/>
    <s v="Chidinma O."/>
    <x v="4"/>
    <n v="5000"/>
    <n v="3"/>
    <n v="0"/>
    <n v="15000"/>
    <n v="779.82"/>
    <x v="1"/>
  </r>
  <r>
    <s v="ORD-20011"/>
    <n v="1"/>
    <x v="178"/>
    <x v="3"/>
    <x v="6"/>
    <s v="Chidinma O."/>
    <x v="0"/>
    <n v="65000"/>
    <n v="1"/>
    <n v="0"/>
    <n v="65000"/>
    <n v="0"/>
    <x v="0"/>
  </r>
  <r>
    <s v="ORD-20218"/>
    <n v="1"/>
    <x v="179"/>
    <x v="1"/>
    <x v="4"/>
    <s v="Fatima S."/>
    <x v="3"/>
    <n v="35000"/>
    <n v="2"/>
    <n v="0.1"/>
    <n v="63000"/>
    <n v="2514.5300000000002"/>
    <x v="0"/>
  </r>
  <r>
    <s v="ORD-20102"/>
    <n v="1"/>
    <x v="180"/>
    <x v="2"/>
    <x v="5"/>
    <s v="Bayo A."/>
    <x v="3"/>
    <n v="35000"/>
    <n v="1"/>
    <n v="0.2"/>
    <n v="28000"/>
    <n v="0"/>
    <x v="1"/>
  </r>
  <r>
    <s v="ORD-20318"/>
    <n v="1"/>
    <x v="181"/>
    <x v="1"/>
    <x v="3"/>
    <s v="Fatima S."/>
    <x v="1"/>
    <n v="15000"/>
    <n v="1"/>
    <n v="0"/>
    <n v="15000"/>
    <n v="0"/>
    <x v="1"/>
  </r>
  <r>
    <s v="ORD-20260"/>
    <n v="1"/>
    <x v="182"/>
    <x v="0"/>
    <x v="6"/>
    <s v="Tunde K."/>
    <x v="3"/>
    <n v="35000"/>
    <n v="1"/>
    <n v="0"/>
    <n v="35000"/>
    <n v="0"/>
    <x v="1"/>
  </r>
  <r>
    <s v="ORD-20357"/>
    <n v="1"/>
    <x v="182"/>
    <x v="4"/>
    <x v="4"/>
    <s v="Chidinma O."/>
    <x v="1"/>
    <n v="15000"/>
    <n v="1"/>
    <n v="0"/>
    <n v="15000"/>
    <n v="2132.6"/>
    <x v="0"/>
  </r>
  <r>
    <s v="ORD-20066"/>
    <n v="1"/>
    <x v="182"/>
    <x v="1"/>
    <x v="4"/>
    <s v="Emeka N."/>
    <x v="0"/>
    <n v="65000"/>
    <n v="2"/>
    <n v="0"/>
    <n v="130000"/>
    <n v="919.88"/>
    <x v="1"/>
  </r>
  <r>
    <s v="ORD-20437"/>
    <n v="1"/>
    <x v="183"/>
    <x v="4"/>
    <x v="2"/>
    <s v="Tunde K."/>
    <x v="0"/>
    <n v="65000"/>
    <n v="1"/>
    <n v="0.05"/>
    <n v="61750"/>
    <n v="395.08"/>
    <x v="1"/>
  </r>
  <r>
    <s v="ORD-20330"/>
    <n v="1"/>
    <x v="184"/>
    <x v="3"/>
    <x v="4"/>
    <s v="Chidinma O."/>
    <x v="2"/>
    <n v="8000"/>
    <n v="2"/>
    <n v="0.15"/>
    <n v="13600"/>
    <n v="1694.21"/>
    <x v="0"/>
  </r>
  <r>
    <s v="ORD-20117"/>
    <n v="1"/>
    <x v="184"/>
    <x v="0"/>
    <x v="4"/>
    <s v="Bayo A."/>
    <x v="0"/>
    <n v="65000"/>
    <n v="3"/>
    <n v="0"/>
    <n v="195000"/>
    <n v="1810.54"/>
    <x v="1"/>
  </r>
  <r>
    <s v="ORD-20439"/>
    <n v="1"/>
    <x v="185"/>
    <x v="0"/>
    <x v="2"/>
    <s v="Chidinma O."/>
    <x v="2"/>
    <n v="8000"/>
    <n v="2"/>
    <n v="0.2"/>
    <n v="12800"/>
    <n v="406.74"/>
    <x v="0"/>
  </r>
  <r>
    <s v="ORD-20396"/>
    <n v="1"/>
    <x v="185"/>
    <x v="3"/>
    <x v="1"/>
    <s v="Emeka N."/>
    <x v="1"/>
    <n v="15000"/>
    <n v="1"/>
    <n v="0.05"/>
    <n v="14250"/>
    <n v="961.77"/>
    <x v="0"/>
  </r>
  <r>
    <s v="ORD-20316"/>
    <n v="1"/>
    <x v="186"/>
    <x v="1"/>
    <x v="1"/>
    <s v="Tunde K."/>
    <x v="0"/>
    <n v="65000"/>
    <n v="2"/>
    <n v="0.15"/>
    <n v="110500"/>
    <n v="2972.27"/>
    <x v="1"/>
  </r>
  <r>
    <s v="ORD-20312"/>
    <n v="1"/>
    <x v="187"/>
    <x v="3"/>
    <x v="1"/>
    <s v="Chidinma O."/>
    <x v="0"/>
    <n v="65000"/>
    <n v="2"/>
    <n v="0"/>
    <n v="130000"/>
    <n v="1226.82"/>
    <x v="0"/>
  </r>
  <r>
    <s v="ORD-20184"/>
    <n v="1"/>
    <x v="188"/>
    <x v="4"/>
    <x v="1"/>
    <s v="N/A - Self-Serve."/>
    <x v="4"/>
    <n v="5000"/>
    <n v="1"/>
    <n v="0.1"/>
    <n v="4500"/>
    <n v="1868.58"/>
    <x v="1"/>
  </r>
  <r>
    <s v="ORD-20155"/>
    <n v="1"/>
    <x v="189"/>
    <x v="3"/>
    <x v="1"/>
    <s v="Bayo A."/>
    <x v="3"/>
    <n v="35000"/>
    <n v="2"/>
    <n v="0.1"/>
    <n v="63000"/>
    <n v="1699.36"/>
    <x v="1"/>
  </r>
  <r>
    <s v="ORD-20293"/>
    <n v="1"/>
    <x v="190"/>
    <x v="4"/>
    <x v="1"/>
    <s v="Tunde K."/>
    <x v="0"/>
    <n v="65000"/>
    <n v="1"/>
    <n v="0.15"/>
    <n v="55250"/>
    <n v="3466.63"/>
    <x v="0"/>
  </r>
  <r>
    <s v="ORD-20429"/>
    <n v="1"/>
    <x v="190"/>
    <x v="3"/>
    <x v="6"/>
    <s v="Nkechi U."/>
    <x v="4"/>
    <n v="5000"/>
    <n v="3"/>
    <n v="0"/>
    <n v="15000"/>
    <n v="0"/>
    <x v="0"/>
  </r>
  <r>
    <s v="ORD-20423"/>
    <n v="1"/>
    <x v="191"/>
    <x v="3"/>
    <x v="6"/>
    <s v="Chidinma O."/>
    <x v="0"/>
    <n v="65000"/>
    <n v="1"/>
    <n v="0.15"/>
    <n v="55250"/>
    <n v="0"/>
    <x v="0"/>
  </r>
  <r>
    <s v="ORD-20257"/>
    <n v="1"/>
    <x v="191"/>
    <x v="0"/>
    <x v="8"/>
    <s v="Bayo A."/>
    <x v="0"/>
    <n v="65000"/>
    <n v="1"/>
    <n v="0"/>
    <n v="65000"/>
    <n v="0"/>
    <x v="1"/>
  </r>
  <r>
    <s v="ORD-20231"/>
    <n v="1"/>
    <x v="192"/>
    <x v="0"/>
    <x v="1"/>
    <s v="Tunde K."/>
    <x v="3"/>
    <n v="35000"/>
    <n v="3"/>
    <n v="0"/>
    <n v="105000"/>
    <n v="1272.45"/>
    <x v="1"/>
  </r>
  <r>
    <s v="ORD-20044"/>
    <n v="1"/>
    <x v="193"/>
    <x v="3"/>
    <x v="6"/>
    <s v="Bayo A."/>
    <x v="3"/>
    <n v="35000"/>
    <n v="1"/>
    <n v="0.2"/>
    <n v="28000"/>
    <n v="0"/>
    <x v="0"/>
  </r>
  <r>
    <s v="ORD-20104"/>
    <n v="1"/>
    <x v="193"/>
    <x v="1"/>
    <x v="5"/>
    <s v="Nkechi U."/>
    <x v="2"/>
    <n v="8000"/>
    <n v="1"/>
    <n v="0"/>
    <n v="8000"/>
    <n v="0"/>
    <x v="1"/>
  </r>
  <r>
    <s v="ORD-20105"/>
    <n v="1"/>
    <x v="194"/>
    <x v="1"/>
    <x v="2"/>
    <s v="Bayo A."/>
    <x v="4"/>
    <n v="5000"/>
    <n v="1"/>
    <n v="0"/>
    <n v="5000"/>
    <n v="1625.56"/>
    <x v="0"/>
  </r>
  <r>
    <s v="ORD-20300"/>
    <n v="1"/>
    <x v="195"/>
    <x v="1"/>
    <x v="6"/>
    <s v="Chidinma O."/>
    <x v="1"/>
    <n v="15000"/>
    <n v="1"/>
    <n v="0"/>
    <n v="15000"/>
    <n v="0"/>
    <x v="0"/>
  </r>
  <r>
    <s v="ORD-20212"/>
    <n v="1"/>
    <x v="195"/>
    <x v="0"/>
    <x v="5"/>
    <s v="Chidinma O."/>
    <x v="2"/>
    <n v="8000"/>
    <n v="1"/>
    <n v="0"/>
    <n v="8000"/>
    <n v="0"/>
    <x v="0"/>
  </r>
  <r>
    <s v="ORD-20363"/>
    <n v="1"/>
    <x v="195"/>
    <x v="1"/>
    <x v="6"/>
    <s v="Chidinma O."/>
    <x v="1"/>
    <n v="15000"/>
    <n v="1"/>
    <n v="0.2"/>
    <n v="12000"/>
    <n v="0"/>
    <x v="1"/>
  </r>
  <r>
    <s v="ORD-20018"/>
    <n v="1"/>
    <x v="196"/>
    <x v="4"/>
    <x v="0"/>
    <s v="Nkechi U."/>
    <x v="3"/>
    <n v="35000"/>
    <n v="2"/>
    <n v="0.05"/>
    <n v="66500"/>
    <n v="3059.53"/>
    <x v="1"/>
  </r>
  <r>
    <s v="ORD-20178"/>
    <n v="1"/>
    <x v="197"/>
    <x v="3"/>
    <x v="0"/>
    <s v="Fatima S."/>
    <x v="2"/>
    <n v="8000"/>
    <n v="2"/>
    <n v="0"/>
    <n v="16000"/>
    <n v="3155.09"/>
    <x v="1"/>
  </r>
  <r>
    <s v="ORD-20242"/>
    <n v="1"/>
    <x v="198"/>
    <x v="1"/>
    <x v="1"/>
    <s v="Fatima S."/>
    <x v="0"/>
    <n v="65000"/>
    <n v="2"/>
    <n v="0.2"/>
    <n v="104000"/>
    <n v="938.12"/>
    <x v="1"/>
  </r>
  <r>
    <s v="ORD-20319"/>
    <n v="1"/>
    <x v="198"/>
    <x v="4"/>
    <x v="2"/>
    <s v="N/A - Self-Serve."/>
    <x v="1"/>
    <n v="15000"/>
    <n v="1"/>
    <n v="0.1"/>
    <n v="13500"/>
    <n v="482.03"/>
    <x v="1"/>
  </r>
  <r>
    <s v="ORD-20307"/>
    <n v="1"/>
    <x v="199"/>
    <x v="2"/>
    <x v="0"/>
    <s v="Chidinma O."/>
    <x v="0"/>
    <n v="65000"/>
    <n v="2"/>
    <n v="0.1"/>
    <n v="117000"/>
    <n v="1536.36"/>
    <x v="1"/>
  </r>
  <r>
    <s v="ORD-20200"/>
    <n v="1"/>
    <x v="200"/>
    <x v="2"/>
    <x v="4"/>
    <s v="Emeka N."/>
    <x v="3"/>
    <n v="35000"/>
    <n v="2"/>
    <n v="0"/>
    <n v="70000"/>
    <n v="805.91"/>
    <x v="0"/>
  </r>
  <r>
    <s v="ORD-20384"/>
    <n v="1"/>
    <x v="201"/>
    <x v="0"/>
    <x v="0"/>
    <s v="Bayo A."/>
    <x v="4"/>
    <n v="5000"/>
    <n v="2"/>
    <n v="0"/>
    <n v="10000"/>
    <n v="2094.88"/>
    <x v="1"/>
  </r>
  <r>
    <s v="ORD-20142"/>
    <n v="1"/>
    <x v="202"/>
    <x v="1"/>
    <x v="1"/>
    <s v="Bayo A."/>
    <x v="1"/>
    <n v="15000"/>
    <n v="1"/>
    <n v="0.1"/>
    <n v="13500"/>
    <n v="633.75"/>
    <x v="1"/>
  </r>
  <r>
    <s v="ORD-20183"/>
    <n v="1"/>
    <x v="203"/>
    <x v="3"/>
    <x v="6"/>
    <s v="Bayo A."/>
    <x v="4"/>
    <n v="5000"/>
    <n v="1"/>
    <n v="0"/>
    <n v="5000"/>
    <n v="0"/>
    <x v="0"/>
  </r>
  <r>
    <s v="ORD-20225"/>
    <n v="1"/>
    <x v="204"/>
    <x v="3"/>
    <x v="3"/>
    <s v="Fatima S."/>
    <x v="3"/>
    <n v="35000"/>
    <n v="3"/>
    <n v="0.1"/>
    <n v="94500"/>
    <n v="0"/>
    <x v="0"/>
  </r>
  <r>
    <s v="ORD-20146"/>
    <n v="1"/>
    <x v="205"/>
    <x v="2"/>
    <x v="7"/>
    <s v="Chidinma O."/>
    <x v="0"/>
    <n v="65000"/>
    <n v="2"/>
    <n v="0.1"/>
    <n v="117000"/>
    <n v="2598.9"/>
    <x v="0"/>
  </r>
  <r>
    <s v="ORD-20017"/>
    <n v="1"/>
    <x v="205"/>
    <x v="2"/>
    <x v="4"/>
    <s v="Emeka N."/>
    <x v="1"/>
    <n v="15000"/>
    <n v="1"/>
    <n v="0"/>
    <n v="15000"/>
    <n v="251.18"/>
    <x v="0"/>
  </r>
  <r>
    <s v="ORD-20087"/>
    <n v="1"/>
    <x v="205"/>
    <x v="4"/>
    <x v="2"/>
    <s v="Chidinma O."/>
    <x v="3"/>
    <n v="35000"/>
    <n v="2"/>
    <n v="0.1"/>
    <n v="63000"/>
    <n v="1617.61"/>
    <x v="1"/>
  </r>
  <r>
    <s v="ORD-20009"/>
    <n v="1"/>
    <x v="205"/>
    <x v="3"/>
    <x v="4"/>
    <s v="Emeka N."/>
    <x v="1"/>
    <n v="15000"/>
    <n v="3"/>
    <n v="0"/>
    <n v="45000"/>
    <n v="892.07"/>
    <x v="0"/>
  </r>
  <r>
    <s v="ORD-20343"/>
    <n v="1"/>
    <x v="206"/>
    <x v="3"/>
    <x v="4"/>
    <s v="Bayo A."/>
    <x v="2"/>
    <n v="8000"/>
    <n v="1"/>
    <n v="0.1"/>
    <n v="7200"/>
    <n v="1994.5"/>
    <x v="1"/>
  </r>
  <r>
    <s v="ORD-20022"/>
    <n v="1"/>
    <x v="207"/>
    <x v="3"/>
    <x v="2"/>
    <s v="Fatima S."/>
    <x v="4"/>
    <n v="5000"/>
    <n v="2"/>
    <n v="0.05"/>
    <n v="9500"/>
    <n v="1916.24"/>
    <x v="1"/>
  </r>
  <r>
    <s v="ORD-20137"/>
    <n v="1"/>
    <x v="208"/>
    <x v="4"/>
    <x v="2"/>
    <s v="Chidinma O."/>
    <x v="1"/>
    <n v="15000"/>
    <n v="3"/>
    <n v="0.05"/>
    <n v="42750"/>
    <n v="3050.14"/>
    <x v="1"/>
  </r>
  <r>
    <s v="ORD-20111"/>
    <n v="1"/>
    <x v="209"/>
    <x v="1"/>
    <x v="1"/>
    <s v="Tunde K."/>
    <x v="3"/>
    <n v="35000"/>
    <n v="3"/>
    <n v="0.1"/>
    <n v="94500"/>
    <n v="2830.37"/>
    <x v="0"/>
  </r>
  <r>
    <s v="ORD-20402"/>
    <n v="1"/>
    <x v="210"/>
    <x v="4"/>
    <x v="3"/>
    <s v="Fatima S."/>
    <x v="0"/>
    <n v="65000"/>
    <n v="1"/>
    <n v="0"/>
    <n v="65000"/>
    <n v="0"/>
    <x v="0"/>
  </r>
  <r>
    <s v="ORD-20421"/>
    <n v="1"/>
    <x v="210"/>
    <x v="4"/>
    <x v="4"/>
    <s v="Chidinma O."/>
    <x v="3"/>
    <n v="35000"/>
    <n v="3"/>
    <n v="0.05"/>
    <n v="99750"/>
    <n v="1843.89"/>
    <x v="0"/>
  </r>
  <r>
    <s v="ORD-20414"/>
    <n v="1"/>
    <x v="211"/>
    <x v="0"/>
    <x v="2"/>
    <s v="Bayo A."/>
    <x v="0"/>
    <n v="65000"/>
    <n v="1"/>
    <n v="0.2"/>
    <n v="52000"/>
    <n v="2536.6799999999998"/>
    <x v="1"/>
  </r>
  <r>
    <s v="ORD-20127"/>
    <n v="1"/>
    <x v="212"/>
    <x v="3"/>
    <x v="5"/>
    <s v="Chidinma O."/>
    <x v="3"/>
    <n v="35000"/>
    <n v="1"/>
    <n v="0.2"/>
    <n v="28000"/>
    <n v="0"/>
    <x v="0"/>
  </r>
  <r>
    <s v="ORD-20392"/>
    <n v="1"/>
    <x v="212"/>
    <x v="2"/>
    <x v="6"/>
    <s v="Rep Not Recorded"/>
    <x v="3"/>
    <n v="35000"/>
    <n v="1"/>
    <n v="0"/>
    <n v="35000"/>
    <n v="0"/>
    <x v="1"/>
  </r>
  <r>
    <s v="ORD-20110"/>
    <n v="1"/>
    <x v="212"/>
    <x v="4"/>
    <x v="2"/>
    <s v="Tunde K."/>
    <x v="1"/>
    <n v="15000"/>
    <n v="1"/>
    <n v="0.2"/>
    <n v="12000"/>
    <n v="279.58999999999997"/>
    <x v="1"/>
  </r>
  <r>
    <s v="ORD-20297"/>
    <n v="1"/>
    <x v="213"/>
    <x v="3"/>
    <x v="6"/>
    <s v="Bayo A."/>
    <x v="2"/>
    <n v="8000"/>
    <n v="2"/>
    <n v="0"/>
    <n v="16000"/>
    <n v="0"/>
    <x v="0"/>
  </r>
  <r>
    <s v="ORD-20255"/>
    <n v="1"/>
    <x v="214"/>
    <x v="3"/>
    <x v="6"/>
    <s v="Chidinma O."/>
    <x v="0"/>
    <n v="65000"/>
    <n v="2"/>
    <n v="0"/>
    <n v="130000"/>
    <n v="0"/>
    <x v="0"/>
  </r>
  <r>
    <s v="ORD-20160"/>
    <n v="1"/>
    <x v="215"/>
    <x v="0"/>
    <x v="2"/>
    <s v="Tunde K."/>
    <x v="2"/>
    <n v="8000"/>
    <n v="1"/>
    <n v="0.05"/>
    <n v="7600"/>
    <n v="1557.7"/>
    <x v="0"/>
  </r>
  <r>
    <s v="ORD-20217"/>
    <n v="1"/>
    <x v="215"/>
    <x v="1"/>
    <x v="1"/>
    <s v="Emeka N."/>
    <x v="4"/>
    <n v="5000"/>
    <n v="1"/>
    <n v="0"/>
    <n v="5000"/>
    <n v="1917.47"/>
    <x v="1"/>
  </r>
  <r>
    <s v="ORD-20077"/>
    <n v="1"/>
    <x v="216"/>
    <x v="1"/>
    <x v="4"/>
    <s v="Fatima S."/>
    <x v="2"/>
    <n v="8000"/>
    <n v="2"/>
    <n v="0"/>
    <n v="16000"/>
    <n v="1122.4000000000001"/>
    <x v="0"/>
  </r>
  <r>
    <s v="ORD-20241"/>
    <n v="1"/>
    <x v="216"/>
    <x v="4"/>
    <x v="6"/>
    <s v="Bayo A."/>
    <x v="1"/>
    <n v="15000"/>
    <n v="2"/>
    <n v="0.2"/>
    <n v="24000"/>
    <n v="0"/>
    <x v="1"/>
  </r>
  <r>
    <s v="ORD-20079"/>
    <n v="1"/>
    <x v="217"/>
    <x v="2"/>
    <x v="4"/>
    <s v="Tunde K."/>
    <x v="3"/>
    <n v="35000"/>
    <n v="1"/>
    <n v="0.2"/>
    <n v="28000"/>
    <n v="1195.58"/>
    <x v="0"/>
  </r>
  <r>
    <s v="ORD-20007"/>
    <n v="1"/>
    <x v="218"/>
    <x v="1"/>
    <x v="6"/>
    <s v="Emeka N."/>
    <x v="0"/>
    <n v="65000"/>
    <n v="1"/>
    <n v="0.2"/>
    <n v="52000"/>
    <n v="0"/>
    <x v="0"/>
  </r>
  <r>
    <s v="ORD-20243"/>
    <n v="1"/>
    <x v="219"/>
    <x v="4"/>
    <x v="3"/>
    <s v="Emeka N."/>
    <x v="2"/>
    <n v="8000"/>
    <n v="2"/>
    <n v="0.15"/>
    <n v="13600"/>
    <n v="0"/>
    <x v="0"/>
  </r>
  <r>
    <s v="ORD-20135"/>
    <n v="1"/>
    <x v="220"/>
    <x v="2"/>
    <x v="4"/>
    <s v="Fatima S."/>
    <x v="3"/>
    <n v="35000"/>
    <n v="1"/>
    <n v="0"/>
    <n v="35000"/>
    <n v="1538.02"/>
    <x v="0"/>
  </r>
  <r>
    <s v="ORD-20355"/>
    <n v="1"/>
    <x v="221"/>
    <x v="1"/>
    <x v="1"/>
    <s v="Bayo A."/>
    <x v="3"/>
    <n v="35000"/>
    <n v="1"/>
    <n v="0.15"/>
    <n v="29750"/>
    <n v="202.25"/>
    <x v="0"/>
  </r>
  <r>
    <s v="ORD-20224"/>
    <n v="1"/>
    <x v="222"/>
    <x v="5"/>
    <x v="4"/>
    <s v="Bayo A."/>
    <x v="0"/>
    <n v="65000"/>
    <n v="1"/>
    <n v="0.2"/>
    <n v="52000"/>
    <n v="3103.09"/>
    <x v="1"/>
  </r>
  <r>
    <s v="ORD-20176"/>
    <n v="1"/>
    <x v="222"/>
    <x v="3"/>
    <x v="5"/>
    <s v="Fatima S."/>
    <x v="3"/>
    <n v="35000"/>
    <n v="1"/>
    <n v="0.2"/>
    <n v="28000"/>
    <n v="0"/>
    <x v="0"/>
  </r>
  <r>
    <s v="ORD-20134"/>
    <n v="1"/>
    <x v="223"/>
    <x v="1"/>
    <x v="5"/>
    <s v="Chidinma O."/>
    <x v="1"/>
    <n v="15000"/>
    <n v="2"/>
    <n v="0"/>
    <n v="30000"/>
    <n v="0"/>
    <x v="0"/>
  </r>
  <r>
    <s v="ORD-20443"/>
    <n v="1"/>
    <x v="223"/>
    <x v="1"/>
    <x v="5"/>
    <s v="Nkechi U."/>
    <x v="0"/>
    <n v="65000"/>
    <n v="1"/>
    <n v="0"/>
    <n v="65000"/>
    <n v="0"/>
    <x v="0"/>
  </r>
  <r>
    <s v="ORD-20440"/>
    <n v="1"/>
    <x v="224"/>
    <x v="5"/>
    <x v="2"/>
    <s v="Fatima S."/>
    <x v="2"/>
    <n v="8000"/>
    <n v="1"/>
    <n v="0.1"/>
    <n v="7200"/>
    <n v="344.49"/>
    <x v="1"/>
  </r>
  <r>
    <s v="ORD-20030"/>
    <n v="1"/>
    <x v="224"/>
    <x v="5"/>
    <x v="2"/>
    <s v="Chidinma O."/>
    <x v="4"/>
    <n v="5000"/>
    <n v="2"/>
    <n v="0"/>
    <n v="10000"/>
    <n v="1451.28"/>
    <x v="0"/>
  </r>
  <r>
    <s v="ORD-20239"/>
    <n v="1"/>
    <x v="225"/>
    <x v="0"/>
    <x v="6"/>
    <s v="Nkechi U."/>
    <x v="4"/>
    <n v="5000"/>
    <n v="2"/>
    <n v="0.15"/>
    <n v="8500"/>
    <n v="0"/>
    <x v="0"/>
  </r>
  <r>
    <s v="ORD-20364"/>
    <n v="1"/>
    <x v="225"/>
    <x v="4"/>
    <x v="5"/>
    <s v="Fatima S."/>
    <x v="0"/>
    <n v="65000"/>
    <n v="1"/>
    <n v="0.05"/>
    <n v="61750"/>
    <n v="0"/>
    <x v="0"/>
  </r>
  <r>
    <s v="ORD-20268"/>
    <n v="1"/>
    <x v="225"/>
    <x v="0"/>
    <x v="2"/>
    <s v="Chidinma O."/>
    <x v="2"/>
    <n v="8000"/>
    <n v="1"/>
    <n v="0.05"/>
    <n v="7600"/>
    <n v="1900.27"/>
    <x v="0"/>
  </r>
  <r>
    <s v="ORD-20120"/>
    <n v="1"/>
    <x v="226"/>
    <x v="3"/>
    <x v="3"/>
    <s v="Chidinma O."/>
    <x v="3"/>
    <n v="35000"/>
    <n v="3"/>
    <n v="0"/>
    <n v="105000"/>
    <n v="0"/>
    <x v="1"/>
  </r>
  <r>
    <s v="ORD-20088"/>
    <n v="1"/>
    <x v="226"/>
    <x v="2"/>
    <x v="0"/>
    <s v="Fatima S."/>
    <x v="2"/>
    <n v="8000"/>
    <n v="2"/>
    <n v="0.1"/>
    <n v="14400"/>
    <n v="1406.4"/>
    <x v="0"/>
  </r>
  <r>
    <s v="ORD-20167"/>
    <n v="1"/>
    <x v="227"/>
    <x v="1"/>
    <x v="1"/>
    <s v="Chidinma O."/>
    <x v="3"/>
    <n v="35000"/>
    <n v="3"/>
    <n v="0.15"/>
    <n v="89250"/>
    <n v="2070.4499999999998"/>
    <x v="0"/>
  </r>
  <r>
    <s v="ORD-20116"/>
    <n v="1"/>
    <x v="228"/>
    <x v="0"/>
    <x v="7"/>
    <s v="Tunde K."/>
    <x v="3"/>
    <n v="35000"/>
    <n v="2"/>
    <n v="0.2"/>
    <n v="56000"/>
    <n v="2723.54"/>
    <x v="1"/>
  </r>
  <r>
    <s v="ORD-20114"/>
    <n v="1"/>
    <x v="228"/>
    <x v="1"/>
    <x v="1"/>
    <s v="Bayo A."/>
    <x v="2"/>
    <n v="8000"/>
    <n v="2"/>
    <n v="0"/>
    <n v="16000"/>
    <n v="1303.92"/>
    <x v="0"/>
  </r>
  <r>
    <s v="ORD-20366"/>
    <n v="1"/>
    <x v="229"/>
    <x v="4"/>
    <x v="1"/>
    <s v="Nkechi U."/>
    <x v="3"/>
    <n v="35000"/>
    <n v="1"/>
    <n v="0"/>
    <n v="35000"/>
    <n v="3097.84"/>
    <x v="1"/>
  </r>
  <r>
    <s v="ORD-20353"/>
    <n v="1"/>
    <x v="230"/>
    <x v="2"/>
    <x v="1"/>
    <s v="Tunde K."/>
    <x v="2"/>
    <n v="8000"/>
    <n v="2"/>
    <n v="0.2"/>
    <n v="12800"/>
    <n v="3279.73"/>
    <x v="0"/>
  </r>
  <r>
    <s v="ORD-20215"/>
    <n v="1"/>
    <x v="230"/>
    <x v="4"/>
    <x v="6"/>
    <s v="Bayo A."/>
    <x v="4"/>
    <n v="5000"/>
    <n v="2"/>
    <n v="0"/>
    <n v="10000"/>
    <n v="0"/>
    <x v="1"/>
  </r>
  <r>
    <s v="ORD-20092"/>
    <n v="1"/>
    <x v="231"/>
    <x v="2"/>
    <x v="0"/>
    <s v="Bayo A."/>
    <x v="0"/>
    <n v="65000"/>
    <n v="1"/>
    <n v="0"/>
    <n v="65000"/>
    <n v="3292.99"/>
    <x v="1"/>
  </r>
  <r>
    <s v="ORD-20261"/>
    <n v="1"/>
    <x v="232"/>
    <x v="3"/>
    <x v="3"/>
    <s v="Chidinma O."/>
    <x v="1"/>
    <n v="15000"/>
    <n v="2"/>
    <n v="0.1"/>
    <n v="27000"/>
    <n v="0"/>
    <x v="1"/>
  </r>
  <r>
    <s v="ORD-20296"/>
    <n v="1"/>
    <x v="233"/>
    <x v="2"/>
    <x v="2"/>
    <s v="Chidinma O."/>
    <x v="2"/>
    <n v="8000"/>
    <n v="3"/>
    <n v="0"/>
    <n v="24000"/>
    <n v="419.62"/>
    <x v="1"/>
  </r>
  <r>
    <s v="ORD-20060"/>
    <n v="1"/>
    <x v="234"/>
    <x v="0"/>
    <x v="1"/>
    <s v="Emeka N."/>
    <x v="2"/>
    <n v="8000"/>
    <n v="1"/>
    <n v="0"/>
    <n v="8000"/>
    <n v="1584.48"/>
    <x v="0"/>
  </r>
  <r>
    <s v="ORD-20068"/>
    <n v="1"/>
    <x v="235"/>
    <x v="1"/>
    <x v="2"/>
    <s v="Emeka N."/>
    <x v="2"/>
    <n v="8000"/>
    <n v="3"/>
    <n v="0"/>
    <n v="24000"/>
    <n v="1529.17"/>
    <x v="1"/>
  </r>
  <r>
    <s v="ORD-20324"/>
    <n v="1"/>
    <x v="236"/>
    <x v="1"/>
    <x v="4"/>
    <s v="Bayo A."/>
    <x v="4"/>
    <n v="5000"/>
    <n v="1"/>
    <n v="0.15"/>
    <n v="4250"/>
    <n v="2956.9"/>
    <x v="0"/>
  </r>
  <r>
    <s v="ORD-20409"/>
    <n v="1"/>
    <x v="237"/>
    <x v="4"/>
    <x v="1"/>
    <s v="Emeka N."/>
    <x v="4"/>
    <n v="5000"/>
    <n v="2"/>
    <n v="0.1"/>
    <n v="9000"/>
    <n v="1529.97"/>
    <x v="1"/>
  </r>
  <r>
    <s v="ORD-20375"/>
    <n v="1"/>
    <x v="238"/>
    <x v="0"/>
    <x v="6"/>
    <s v="Nkechi U."/>
    <x v="2"/>
    <n v="8000"/>
    <n v="1"/>
    <n v="0"/>
    <n v="8000"/>
    <n v="0"/>
    <x v="0"/>
  </r>
  <r>
    <s v="ORD-20436"/>
    <n v="1"/>
    <x v="239"/>
    <x v="1"/>
    <x v="1"/>
    <s v="Nkechi U."/>
    <x v="3"/>
    <n v="35000"/>
    <n v="1"/>
    <n v="0.1"/>
    <n v="31500"/>
    <n v="1761.29"/>
    <x v="0"/>
  </r>
  <r>
    <s v="ORD-20180"/>
    <n v="1"/>
    <x v="239"/>
    <x v="1"/>
    <x v="1"/>
    <s v="Fatima S."/>
    <x v="2"/>
    <n v="8000"/>
    <n v="1"/>
    <n v="0"/>
    <n v="8000"/>
    <n v="1972.94"/>
    <x v="1"/>
  </r>
  <r>
    <s v="ORD-20125"/>
    <n v="1"/>
    <x v="240"/>
    <x v="1"/>
    <x v="2"/>
    <s v="Fatima S."/>
    <x v="0"/>
    <n v="65000"/>
    <n v="2"/>
    <n v="0"/>
    <n v="130000"/>
    <n v="2268.29"/>
    <x v="0"/>
  </r>
  <r>
    <s v="ORD-20036"/>
    <n v="1"/>
    <x v="240"/>
    <x v="1"/>
    <x v="2"/>
    <s v="Fatima S."/>
    <x v="3"/>
    <n v="35000"/>
    <n v="1"/>
    <n v="0.05"/>
    <n v="33250"/>
    <n v="855.07"/>
    <x v="1"/>
  </r>
  <r>
    <s v="ORD-20202"/>
    <n v="1"/>
    <x v="241"/>
    <x v="0"/>
    <x v="3"/>
    <s v="Chidinma O."/>
    <x v="3"/>
    <n v="35000"/>
    <n v="2"/>
    <n v="0"/>
    <n v="70000"/>
    <n v="0"/>
    <x v="1"/>
  </r>
  <r>
    <s v="ORD-20337"/>
    <n v="1"/>
    <x v="241"/>
    <x v="3"/>
    <x v="4"/>
    <s v="Nkechi U."/>
    <x v="0"/>
    <n v="65000"/>
    <n v="1"/>
    <n v="0"/>
    <n v="65000"/>
    <n v="921.01"/>
    <x v="1"/>
  </r>
  <r>
    <s v="ORD-20129"/>
    <n v="1"/>
    <x v="242"/>
    <x v="4"/>
    <x v="6"/>
    <s v="Nkechi U."/>
    <x v="4"/>
    <n v="5000"/>
    <n v="2"/>
    <n v="0.2"/>
    <n v="8000"/>
    <n v="0"/>
    <x v="1"/>
  </r>
  <r>
    <s v="ORD-20039"/>
    <n v="1"/>
    <x v="243"/>
    <x v="0"/>
    <x v="4"/>
    <s v="Chidinma O."/>
    <x v="0"/>
    <n v="65000"/>
    <n v="1"/>
    <n v="0.2"/>
    <n v="52000"/>
    <n v="1462.41"/>
    <x v="0"/>
  </r>
  <r>
    <s v="ORD-20001"/>
    <n v="1"/>
    <x v="244"/>
    <x v="3"/>
    <x v="4"/>
    <s v="Emeka N."/>
    <x v="4"/>
    <n v="5000"/>
    <n v="2"/>
    <n v="0.2"/>
    <n v="8000"/>
    <n v="809.38"/>
    <x v="0"/>
  </r>
  <r>
    <s v="ORD-20274"/>
    <n v="1"/>
    <x v="245"/>
    <x v="1"/>
    <x v="1"/>
    <s v="Chidinma O."/>
    <x v="2"/>
    <n v="8000"/>
    <n v="1"/>
    <n v="0.2"/>
    <n v="6400"/>
    <n v="846.77"/>
    <x v="0"/>
  </r>
  <r>
    <s v="ORD-20048"/>
    <n v="1"/>
    <x v="245"/>
    <x v="1"/>
    <x v="3"/>
    <s v="Tunde K."/>
    <x v="1"/>
    <n v="15000"/>
    <n v="2"/>
    <n v="0.1"/>
    <n v="27000"/>
    <n v="0"/>
    <x v="1"/>
  </r>
  <r>
    <s v="ORD-20171"/>
    <n v="1"/>
    <x v="246"/>
    <x v="5"/>
    <x v="2"/>
    <s v="Nkechi U."/>
    <x v="0"/>
    <n v="65000"/>
    <n v="1"/>
    <n v="0.05"/>
    <n v="61750"/>
    <n v="3281.99"/>
    <x v="1"/>
  </r>
  <r>
    <s v="ORD-20288"/>
    <n v="1"/>
    <x v="246"/>
    <x v="1"/>
    <x v="3"/>
    <s v="Chidinma O."/>
    <x v="4"/>
    <n v="5000"/>
    <n v="2"/>
    <n v="0"/>
    <n v="10000"/>
    <n v="0"/>
    <x v="0"/>
  </r>
  <r>
    <s v="ORD-20094"/>
    <n v="1"/>
    <x v="247"/>
    <x v="3"/>
    <x v="0"/>
    <s v="Nkechi U."/>
    <x v="3"/>
    <n v="35000"/>
    <n v="1"/>
    <n v="0"/>
    <n v="35000"/>
    <n v="610.28"/>
    <x v="1"/>
  </r>
  <r>
    <s v="ORD-20059"/>
    <n v="1"/>
    <x v="248"/>
    <x v="4"/>
    <x v="0"/>
    <s v="Bayo A."/>
    <x v="4"/>
    <n v="5000"/>
    <n v="1"/>
    <n v="0"/>
    <n v="5000"/>
    <n v="1827.02"/>
    <x v="0"/>
  </r>
  <r>
    <s v="ORD-20448"/>
    <n v="1"/>
    <x v="249"/>
    <x v="4"/>
    <x v="3"/>
    <s v="Emeka N."/>
    <x v="4"/>
    <n v="5000"/>
    <n v="1"/>
    <n v="0.05"/>
    <n v="4750"/>
    <n v="0"/>
    <x v="0"/>
  </r>
  <r>
    <s v="ORD-20331"/>
    <n v="1"/>
    <x v="249"/>
    <x v="5"/>
    <x v="4"/>
    <s v="Chidinma O."/>
    <x v="2"/>
    <n v="8000"/>
    <n v="1"/>
    <n v="0.05"/>
    <n v="7600"/>
    <n v="1282.47"/>
    <x v="1"/>
  </r>
  <r>
    <s v="ORD-20427"/>
    <n v="1"/>
    <x v="249"/>
    <x v="3"/>
    <x v="0"/>
    <s v="Tunde K."/>
    <x v="2"/>
    <n v="8000"/>
    <n v="1"/>
    <n v="0"/>
    <n v="8000"/>
    <n v="1627.57"/>
    <x v="0"/>
  </r>
  <r>
    <s v="ORD-20073"/>
    <n v="1"/>
    <x v="249"/>
    <x v="2"/>
    <x v="5"/>
    <s v="Bayo A."/>
    <x v="1"/>
    <n v="15000"/>
    <n v="1"/>
    <n v="0.05"/>
    <n v="14250"/>
    <n v="0"/>
    <x v="1"/>
  </r>
  <r>
    <s v="ORD-20119"/>
    <n v="1"/>
    <x v="250"/>
    <x v="1"/>
    <x v="0"/>
    <s v="Chidinma O."/>
    <x v="2"/>
    <n v="8000"/>
    <n v="1"/>
    <n v="0.15"/>
    <n v="6800"/>
    <n v="2847.44"/>
    <x v="1"/>
  </r>
  <r>
    <s v="ORD-20279"/>
    <n v="1"/>
    <x v="251"/>
    <x v="3"/>
    <x v="1"/>
    <s v="Emeka N."/>
    <x v="1"/>
    <n v="15000"/>
    <n v="1"/>
    <n v="0.15"/>
    <n v="12750"/>
    <n v="1956.41"/>
    <x v="0"/>
  </r>
  <r>
    <s v="ORD-20133"/>
    <n v="1"/>
    <x v="252"/>
    <x v="1"/>
    <x v="4"/>
    <s v="Fatima S."/>
    <x v="2"/>
    <n v="8000"/>
    <n v="2"/>
    <n v="0.2"/>
    <n v="12800"/>
    <n v="262.8"/>
    <x v="1"/>
  </r>
  <r>
    <s v="ORD-20093"/>
    <n v="1"/>
    <x v="252"/>
    <x v="3"/>
    <x v="1"/>
    <s v="Bayo A."/>
    <x v="3"/>
    <n v="35000"/>
    <n v="2"/>
    <n v="0.15"/>
    <n v="59500"/>
    <n v="366.32"/>
    <x v="1"/>
  </r>
  <r>
    <s v="ORD-20412"/>
    <n v="1"/>
    <x v="252"/>
    <x v="3"/>
    <x v="2"/>
    <s v="Bayo A."/>
    <x v="3"/>
    <n v="35000"/>
    <n v="1"/>
    <n v="0.2"/>
    <n v="28000"/>
    <n v="3456.04"/>
    <x v="0"/>
  </r>
  <r>
    <s v="ORD-20444"/>
    <n v="1"/>
    <x v="253"/>
    <x v="4"/>
    <x v="4"/>
    <s v="Bayo A."/>
    <x v="0"/>
    <n v="65000"/>
    <n v="2"/>
    <n v="0.2"/>
    <n v="104000"/>
    <n v="2484.86"/>
    <x v="0"/>
  </r>
  <r>
    <s v="ORD-20010"/>
    <n v="1"/>
    <x v="254"/>
    <x v="1"/>
    <x v="4"/>
    <s v="Emeka N."/>
    <x v="4"/>
    <n v="5000"/>
    <n v="2"/>
    <n v="0"/>
    <n v="10000"/>
    <n v="2769.09"/>
    <x v="0"/>
  </r>
  <r>
    <s v="ORD-20122"/>
    <n v="1"/>
    <x v="255"/>
    <x v="4"/>
    <x v="5"/>
    <s v="Nkechi U."/>
    <x v="1"/>
    <n v="15000"/>
    <n v="1"/>
    <n v="0.15"/>
    <n v="12750"/>
    <n v="0"/>
    <x v="1"/>
  </r>
  <r>
    <s v="ORD-20327"/>
    <n v="1"/>
    <x v="256"/>
    <x v="1"/>
    <x v="0"/>
    <s v="Emeka N."/>
    <x v="1"/>
    <n v="15000"/>
    <n v="2"/>
    <n v="0.05"/>
    <n v="28500"/>
    <n v="2425.41"/>
    <x v="1"/>
  </r>
  <r>
    <s v="ORD-20173"/>
    <n v="1"/>
    <x v="256"/>
    <x v="2"/>
    <x v="3"/>
    <s v="Emeka N."/>
    <x v="3"/>
    <n v="35000"/>
    <n v="3"/>
    <n v="0.15"/>
    <n v="89250"/>
    <n v="0"/>
    <x v="0"/>
  </r>
  <r>
    <s v="ORD-20411"/>
    <n v="1"/>
    <x v="257"/>
    <x v="3"/>
    <x v="3"/>
    <s v="Chidinma O."/>
    <x v="1"/>
    <n v="15000"/>
    <n v="2"/>
    <n v="0"/>
    <n v="30000"/>
    <n v="0"/>
    <x v="1"/>
  </r>
  <r>
    <s v="ORD-20027"/>
    <n v="1"/>
    <x v="258"/>
    <x v="3"/>
    <x v="3"/>
    <s v="Bayo A."/>
    <x v="0"/>
    <n v="65000"/>
    <n v="1"/>
    <n v="0"/>
    <n v="65000"/>
    <n v="0"/>
    <x v="1"/>
  </r>
  <r>
    <s v="ORD-20138"/>
    <n v="1"/>
    <x v="258"/>
    <x v="1"/>
    <x v="0"/>
    <s v="Bayo A."/>
    <x v="0"/>
    <n v="65000"/>
    <n v="2"/>
    <n v="0"/>
    <n v="130000"/>
    <n v="2747.01"/>
    <x v="1"/>
  </r>
  <r>
    <s v="ORD-20002"/>
    <n v="1"/>
    <x v="259"/>
    <x v="0"/>
    <x v="2"/>
    <s v="Nkechi U."/>
    <x v="1"/>
    <n v="15000"/>
    <n v="2"/>
    <n v="0"/>
    <n v="30000"/>
    <n v="499.21"/>
    <x v="1"/>
  </r>
  <r>
    <s v="ORD-20126"/>
    <n v="1"/>
    <x v="260"/>
    <x v="1"/>
    <x v="2"/>
    <s v="Bayo A."/>
    <x v="4"/>
    <n v="5000"/>
    <n v="2"/>
    <n v="0"/>
    <n v="10000"/>
    <n v="1792.62"/>
    <x v="1"/>
  </r>
  <r>
    <s v="ORD-20247"/>
    <n v="1"/>
    <x v="261"/>
    <x v="3"/>
    <x v="6"/>
    <s v="Chidinma O."/>
    <x v="0"/>
    <n v="65000"/>
    <n v="2"/>
    <n v="0"/>
    <n v="130000"/>
    <n v="0"/>
    <x v="1"/>
  </r>
  <r>
    <s v="ORD-20234"/>
    <n v="1"/>
    <x v="261"/>
    <x v="1"/>
    <x v="0"/>
    <s v="Chidinma O."/>
    <x v="0"/>
    <n v="65000"/>
    <n v="1"/>
    <n v="0.05"/>
    <n v="61750"/>
    <n v="1034.71"/>
    <x v="1"/>
  </r>
  <r>
    <s v="ORD-20213"/>
    <n v="1"/>
    <x v="262"/>
    <x v="4"/>
    <x v="4"/>
    <s v="Bayo A."/>
    <x v="0"/>
    <n v="65000"/>
    <n v="3"/>
    <n v="0.15"/>
    <n v="165750"/>
    <n v="3232.94"/>
    <x v="1"/>
  </r>
  <r>
    <s v="ORD-20089"/>
    <n v="1"/>
    <x v="262"/>
    <x v="1"/>
    <x v="1"/>
    <s v="Fatima S."/>
    <x v="2"/>
    <n v="8000"/>
    <n v="1"/>
    <n v="0.15"/>
    <n v="6800"/>
    <n v="288.64"/>
    <x v="1"/>
  </r>
  <r>
    <s v="ORD-20106"/>
    <n v="1"/>
    <x v="263"/>
    <x v="3"/>
    <x v="1"/>
    <s v="Fatima S."/>
    <x v="0"/>
    <n v="65000"/>
    <n v="1"/>
    <n v="0"/>
    <n v="65000"/>
    <n v="903.76"/>
    <x v="1"/>
  </r>
  <r>
    <s v="ORD-20245"/>
    <n v="1"/>
    <x v="264"/>
    <x v="0"/>
    <x v="6"/>
    <s v="Chidinma O."/>
    <x v="1"/>
    <n v="15000"/>
    <n v="1"/>
    <n v="0"/>
    <n v="15000"/>
    <n v="0"/>
    <x v="0"/>
  </r>
  <r>
    <s v="ORD-20426"/>
    <n v="1"/>
    <x v="264"/>
    <x v="3"/>
    <x v="2"/>
    <s v="Bayo A."/>
    <x v="4"/>
    <n v="5000"/>
    <n v="3"/>
    <n v="0"/>
    <n v="15000"/>
    <n v="2199.29"/>
    <x v="1"/>
  </r>
  <r>
    <s v="ORD-20400"/>
    <n v="1"/>
    <x v="264"/>
    <x v="3"/>
    <x v="0"/>
    <s v="Chidinma O."/>
    <x v="1"/>
    <n v="15000"/>
    <n v="1"/>
    <n v="0.2"/>
    <n v="12000"/>
    <n v="1761"/>
    <x v="1"/>
  </r>
  <r>
    <s v="ORD-20374"/>
    <n v="1"/>
    <x v="265"/>
    <x v="2"/>
    <x v="4"/>
    <s v="Bayo A."/>
    <x v="1"/>
    <n v="15000"/>
    <n v="1"/>
    <n v="0"/>
    <n v="15000"/>
    <n v="3427.1"/>
    <x v="0"/>
  </r>
  <r>
    <s v="ORD-20332"/>
    <n v="1"/>
    <x v="266"/>
    <x v="0"/>
    <x v="5"/>
    <s v="Chidinma O."/>
    <x v="0"/>
    <n v="65000"/>
    <n v="1"/>
    <n v="0.15"/>
    <n v="55250"/>
    <n v="0"/>
    <x v="0"/>
  </r>
  <r>
    <s v="ORD-20287"/>
    <n v="1"/>
    <x v="267"/>
    <x v="1"/>
    <x v="4"/>
    <s v="Fatima S."/>
    <x v="0"/>
    <n v="65000"/>
    <n v="1"/>
    <n v="0.2"/>
    <n v="52000"/>
    <n v="3341.65"/>
    <x v="0"/>
  </r>
  <r>
    <s v="ORD-20328"/>
    <n v="1"/>
    <x v="268"/>
    <x v="1"/>
    <x v="6"/>
    <s v="Bayo A."/>
    <x v="4"/>
    <n v="5000"/>
    <n v="2"/>
    <n v="0.2"/>
    <n v="8000"/>
    <n v="0"/>
    <x v="0"/>
  </r>
  <r>
    <s v="ORD-20040"/>
    <n v="1"/>
    <x v="268"/>
    <x v="3"/>
    <x v="6"/>
    <s v="Bayo A."/>
    <x v="2"/>
    <n v="8000"/>
    <n v="2"/>
    <n v="0"/>
    <n v="16000"/>
    <n v="0"/>
    <x v="0"/>
  </r>
  <r>
    <s v="ORD-20228"/>
    <n v="1"/>
    <x v="268"/>
    <x v="4"/>
    <x v="2"/>
    <s v="Tunde K."/>
    <x v="2"/>
    <n v="8000"/>
    <n v="2"/>
    <n v="0.2"/>
    <n v="12800"/>
    <n v="1071.42"/>
    <x v="0"/>
  </r>
  <r>
    <s v="ORD-20226"/>
    <n v="1"/>
    <x v="269"/>
    <x v="1"/>
    <x v="4"/>
    <s v="Emeka N."/>
    <x v="4"/>
    <n v="5000"/>
    <n v="1"/>
    <n v="0"/>
    <n v="5000"/>
    <n v="1090.3"/>
    <x v="0"/>
  </r>
  <r>
    <s v="ORD-20038"/>
    <n v="1"/>
    <x v="270"/>
    <x v="4"/>
    <x v="2"/>
    <s v="Fatima S."/>
    <x v="1"/>
    <n v="15000"/>
    <n v="3"/>
    <n v="0"/>
    <n v="45000"/>
    <n v="2912.13"/>
    <x v="0"/>
  </r>
  <r>
    <s v="ORD-20187"/>
    <n v="1"/>
    <x v="271"/>
    <x v="3"/>
    <x v="1"/>
    <s v="Chidinma O."/>
    <x v="1"/>
    <n v="15000"/>
    <n v="1"/>
    <n v="0.1"/>
    <n v="13500"/>
    <n v="1200.1400000000001"/>
    <x v="1"/>
  </r>
  <r>
    <s v="ORD-20063"/>
    <n v="1"/>
    <x v="272"/>
    <x v="0"/>
    <x v="4"/>
    <s v="Emeka N."/>
    <x v="2"/>
    <n v="8000"/>
    <n v="2"/>
    <n v="0"/>
    <n v="16000"/>
    <n v="2514.5100000000002"/>
    <x v="1"/>
  </r>
  <r>
    <s v="ORD-20264"/>
    <n v="1"/>
    <x v="272"/>
    <x v="2"/>
    <x v="1"/>
    <s v="Chidinma O."/>
    <x v="3"/>
    <n v="35000"/>
    <n v="1"/>
    <n v="0"/>
    <n v="35000"/>
    <n v="3327.37"/>
    <x v="0"/>
  </r>
  <r>
    <s v="ORD-20405"/>
    <n v="1"/>
    <x v="273"/>
    <x v="3"/>
    <x v="0"/>
    <s v="Chidinma O."/>
    <x v="2"/>
    <n v="8000"/>
    <n v="2"/>
    <n v="0.05"/>
    <n v="15200"/>
    <n v="1941.48"/>
    <x v="1"/>
  </r>
  <r>
    <s v="ORD-20189"/>
    <n v="1"/>
    <x v="274"/>
    <x v="1"/>
    <x v="1"/>
    <s v="Bayo A."/>
    <x v="0"/>
    <n v="65000"/>
    <n v="1"/>
    <n v="0"/>
    <n v="65000"/>
    <n v="3194.11"/>
    <x v="0"/>
  </r>
  <r>
    <s v="ORD-20362"/>
    <n v="1"/>
    <x v="274"/>
    <x v="1"/>
    <x v="4"/>
    <s v="Chidinma O."/>
    <x v="4"/>
    <n v="5000"/>
    <n v="1"/>
    <n v="0"/>
    <n v="5000"/>
    <n v="2038.5"/>
    <x v="1"/>
  </r>
  <r>
    <s v="ORD-20389"/>
    <n v="1"/>
    <x v="274"/>
    <x v="1"/>
    <x v="4"/>
    <s v="Bayo A."/>
    <x v="3"/>
    <n v="35000"/>
    <n v="3"/>
    <n v="0"/>
    <n v="105000"/>
    <n v="2851.51"/>
    <x v="1"/>
  </r>
  <r>
    <s v="ORD-20084"/>
    <n v="1"/>
    <x v="275"/>
    <x v="3"/>
    <x v="3"/>
    <s v="Chidinma O."/>
    <x v="3"/>
    <n v="35000"/>
    <n v="3"/>
    <n v="0.05"/>
    <n v="99750"/>
    <n v="0"/>
    <x v="0"/>
  </r>
  <r>
    <s v="ORD-20346"/>
    <n v="1"/>
    <x v="276"/>
    <x v="4"/>
    <x v="1"/>
    <s v="Emeka N."/>
    <x v="2"/>
    <n v="8000"/>
    <n v="3"/>
    <n v="0"/>
    <n v="24000"/>
    <n v="448.69"/>
    <x v="0"/>
  </r>
  <r>
    <s v="ORD-20361"/>
    <n v="1"/>
    <x v="277"/>
    <x v="2"/>
    <x v="4"/>
    <s v="Emeka N."/>
    <x v="3"/>
    <n v="35000"/>
    <n v="3"/>
    <n v="0"/>
    <n v="105000"/>
    <n v="1982.28"/>
    <x v="0"/>
  </r>
  <r>
    <s v="ORD-20150"/>
    <n v="1"/>
    <x v="278"/>
    <x v="2"/>
    <x v="4"/>
    <s v="Emeka N."/>
    <x v="2"/>
    <n v="8000"/>
    <n v="3"/>
    <n v="0"/>
    <n v="24000"/>
    <n v="2072.3200000000002"/>
    <x v="0"/>
  </r>
  <r>
    <s v="ORD-20232"/>
    <n v="1"/>
    <x v="279"/>
    <x v="4"/>
    <x v="1"/>
    <s v="Bayo A."/>
    <x v="1"/>
    <n v="15000"/>
    <n v="1"/>
    <n v="0.2"/>
    <n v="12000"/>
    <n v="3122.53"/>
    <x v="0"/>
  </r>
  <r>
    <s v="ORD-20074"/>
    <n v="1"/>
    <x v="280"/>
    <x v="4"/>
    <x v="4"/>
    <s v="Tunde K."/>
    <x v="4"/>
    <n v="5000"/>
    <n v="1"/>
    <n v="0.1"/>
    <n v="4500"/>
    <n v="243.71"/>
    <x v="1"/>
  </r>
  <r>
    <s v="ORD-20128"/>
    <n v="1"/>
    <x v="281"/>
    <x v="3"/>
    <x v="2"/>
    <s v="Chidinma O."/>
    <x v="1"/>
    <n v="15000"/>
    <n v="3"/>
    <n v="0"/>
    <n v="45000"/>
    <n v="3084.37"/>
    <x v="0"/>
  </r>
  <r>
    <s v="ORD-20354"/>
    <n v="1"/>
    <x v="282"/>
    <x v="4"/>
    <x v="2"/>
    <s v="Fatima S."/>
    <x v="1"/>
    <n v="15000"/>
    <n v="1"/>
    <n v="0"/>
    <n v="15000"/>
    <n v="3067.86"/>
    <x v="0"/>
  </r>
  <r>
    <s v="ORD-20033"/>
    <n v="1"/>
    <x v="282"/>
    <x v="3"/>
    <x v="6"/>
    <s v="Bayo A."/>
    <x v="0"/>
    <n v="65000"/>
    <n v="2"/>
    <n v="0"/>
    <n v="130000"/>
    <n v="0"/>
    <x v="0"/>
  </r>
  <r>
    <s v="ORD-20315"/>
    <n v="1"/>
    <x v="283"/>
    <x v="3"/>
    <x v="2"/>
    <s v="Bayo A."/>
    <x v="1"/>
    <n v="15000"/>
    <n v="1"/>
    <n v="0.05"/>
    <n v="14250"/>
    <n v="223.36"/>
    <x v="0"/>
  </r>
  <r>
    <s v="ORD-20185"/>
    <n v="1"/>
    <x v="284"/>
    <x v="4"/>
    <x v="4"/>
    <s v="Chidinma O."/>
    <x v="2"/>
    <n v="8000"/>
    <n v="1"/>
    <n v="0"/>
    <n v="8000"/>
    <n v="976.64"/>
    <x v="1"/>
  </r>
  <r>
    <s v="ORD-20371"/>
    <n v="1"/>
    <x v="285"/>
    <x v="2"/>
    <x v="0"/>
    <s v="Bayo A."/>
    <x v="2"/>
    <n v="8000"/>
    <n v="1"/>
    <n v="0"/>
    <n v="8000"/>
    <n v="2356.81"/>
    <x v="0"/>
  </r>
  <r>
    <s v="ORD-20401"/>
    <n v="1"/>
    <x v="286"/>
    <x v="3"/>
    <x v="1"/>
    <s v="Tunde K."/>
    <x v="0"/>
    <n v="65000"/>
    <n v="1"/>
    <n v="0.1"/>
    <n v="58500"/>
    <n v="996.37"/>
    <x v="0"/>
  </r>
  <r>
    <s v="ORD-20269"/>
    <n v="1"/>
    <x v="287"/>
    <x v="1"/>
    <x v="1"/>
    <s v="Chidinma O."/>
    <x v="4"/>
    <n v="5000"/>
    <n v="1"/>
    <n v="0.1"/>
    <n v="4500"/>
    <n v="2162.09"/>
    <x v="0"/>
  </r>
  <r>
    <s v="ORD-20096"/>
    <n v="1"/>
    <x v="288"/>
    <x v="3"/>
    <x v="1"/>
    <s v="Emeka N."/>
    <x v="0"/>
    <n v="65000"/>
    <n v="3"/>
    <n v="0"/>
    <n v="195000"/>
    <n v="1787.64"/>
    <x v="0"/>
  </r>
  <r>
    <s v="ORD-20170"/>
    <n v="1"/>
    <x v="288"/>
    <x v="1"/>
    <x v="2"/>
    <s v="Emeka N."/>
    <x v="3"/>
    <n v="35000"/>
    <n v="1"/>
    <n v="0.15"/>
    <n v="29750"/>
    <n v="351.44"/>
    <x v="0"/>
  </r>
  <r>
    <s v="ORD-20403"/>
    <n v="1"/>
    <x v="289"/>
    <x v="3"/>
    <x v="6"/>
    <s v="Bayo A."/>
    <x v="3"/>
    <n v="35000"/>
    <n v="2"/>
    <n v="0"/>
    <n v="70000"/>
    <n v="0"/>
    <x v="0"/>
  </r>
  <r>
    <s v="ORD-20399"/>
    <n v="1"/>
    <x v="290"/>
    <x v="3"/>
    <x v="2"/>
    <s v="Bayo A."/>
    <x v="4"/>
    <n v="5000"/>
    <n v="1"/>
    <n v="0"/>
    <n v="5000"/>
    <n v="1121.68"/>
    <x v="0"/>
  </r>
  <r>
    <s v="ORD-20338"/>
    <n v="1"/>
    <x v="291"/>
    <x v="1"/>
    <x v="4"/>
    <s v="Emeka N."/>
    <x v="1"/>
    <n v="15000"/>
    <n v="1"/>
    <n v="0.2"/>
    <n v="12000"/>
    <n v="2122.06"/>
    <x v="0"/>
  </r>
  <r>
    <s v="ORD-20211"/>
    <n v="1"/>
    <x v="291"/>
    <x v="4"/>
    <x v="1"/>
    <s v="Tunde K."/>
    <x v="4"/>
    <n v="5000"/>
    <n v="1"/>
    <n v="0.05"/>
    <n v="4750"/>
    <n v="945.95"/>
    <x v="0"/>
  </r>
  <r>
    <s v="ORD-20380"/>
    <n v="1"/>
    <x v="292"/>
    <x v="4"/>
    <x v="0"/>
    <s v="Emeka N."/>
    <x v="0"/>
    <n v="65000"/>
    <n v="1"/>
    <n v="0.05"/>
    <n v="61750"/>
    <n v="2436.27"/>
    <x v="0"/>
  </r>
  <r>
    <s v="ORD-20190"/>
    <n v="1"/>
    <x v="293"/>
    <x v="4"/>
    <x v="4"/>
    <s v="Fatima S."/>
    <x v="2"/>
    <n v="8000"/>
    <n v="1"/>
    <n v="0"/>
    <n v="8000"/>
    <n v="1603.69"/>
    <x v="1"/>
  </r>
  <r>
    <s v="ORD-20056"/>
    <n v="1"/>
    <x v="294"/>
    <x v="4"/>
    <x v="4"/>
    <s v="Chidinma O."/>
    <x v="2"/>
    <n v="8000"/>
    <n v="2"/>
    <n v="0"/>
    <n v="16000"/>
    <n v="1968.48"/>
    <x v="0"/>
  </r>
  <r>
    <s v="ORD-20166"/>
    <n v="1"/>
    <x v="295"/>
    <x v="5"/>
    <x v="6"/>
    <s v="Tunde K."/>
    <x v="4"/>
    <n v="5000"/>
    <n v="1"/>
    <n v="0"/>
    <n v="5000"/>
    <n v="0"/>
    <x v="0"/>
  </r>
  <r>
    <s v="ORD-20186"/>
    <n v="1"/>
    <x v="296"/>
    <x v="3"/>
    <x v="4"/>
    <s v="Emeka N."/>
    <x v="3"/>
    <n v="35000"/>
    <n v="1"/>
    <n v="0.05"/>
    <n v="33250"/>
    <n v="3013.69"/>
    <x v="0"/>
  </r>
  <r>
    <s v="ORD-20182"/>
    <n v="1"/>
    <x v="297"/>
    <x v="2"/>
    <x v="0"/>
    <s v="Bayo A."/>
    <x v="3"/>
    <n v="35000"/>
    <n v="1"/>
    <n v="0"/>
    <n v="35000"/>
    <n v="3224.15"/>
    <x v="0"/>
  </r>
  <r>
    <s v="ORD-20325"/>
    <n v="1"/>
    <x v="297"/>
    <x v="3"/>
    <x v="2"/>
    <s v="Bayo A."/>
    <x v="1"/>
    <n v="15000"/>
    <n v="2"/>
    <n v="0"/>
    <n v="30000"/>
    <n v="3243.48"/>
    <x v="1"/>
  </r>
  <r>
    <s v="ORD-20329"/>
    <n v="1"/>
    <x v="298"/>
    <x v="4"/>
    <x v="4"/>
    <s v="Chidinma O."/>
    <x v="2"/>
    <n v="8000"/>
    <n v="1"/>
    <n v="0"/>
    <n v="8000"/>
    <n v="1342.68"/>
    <x v="1"/>
  </r>
  <r>
    <s v="ORD-20417"/>
    <n v="1"/>
    <x v="299"/>
    <x v="4"/>
    <x v="1"/>
    <s v="Chidinma O."/>
    <x v="4"/>
    <n v="5000"/>
    <n v="3"/>
    <n v="0.1"/>
    <n v="13500"/>
    <n v="3124.15"/>
    <x v="0"/>
  </r>
  <r>
    <s v="ORD-20271"/>
    <n v="1"/>
    <x v="300"/>
    <x v="0"/>
    <x v="3"/>
    <s v="Bayo A."/>
    <x v="1"/>
    <n v="15000"/>
    <n v="1"/>
    <n v="0.2"/>
    <n v="12000"/>
    <n v="0"/>
    <x v="0"/>
  </r>
  <r>
    <s v="ORD-20197"/>
    <n v="1"/>
    <x v="301"/>
    <x v="4"/>
    <x v="2"/>
    <s v="Emeka N."/>
    <x v="4"/>
    <n v="5000"/>
    <n v="2"/>
    <n v="0"/>
    <n v="10000"/>
    <n v="1401.2"/>
    <x v="0"/>
  </r>
  <r>
    <s v="ORD-20020"/>
    <n v="1"/>
    <x v="302"/>
    <x v="1"/>
    <x v="6"/>
    <s v="Bayo A."/>
    <x v="4"/>
    <n v="5000"/>
    <n v="2"/>
    <n v="0.1"/>
    <n v="9000"/>
    <n v="0"/>
    <x v="1"/>
  </r>
  <r>
    <s v="ORD-20140"/>
    <n v="1"/>
    <x v="303"/>
    <x v="3"/>
    <x v="1"/>
    <s v="Chidinma O."/>
    <x v="0"/>
    <n v="65000"/>
    <n v="1"/>
    <n v="0"/>
    <n v="65000"/>
    <n v="2613.7600000000002"/>
    <x v="0"/>
  </r>
  <r>
    <s v="ORD-20450"/>
    <n v="1"/>
    <x v="304"/>
    <x v="2"/>
    <x v="0"/>
    <s v="Tunde K."/>
    <x v="1"/>
    <n v="15000"/>
    <n v="1"/>
    <n v="0.1"/>
    <n v="13500"/>
    <n v="3468.15"/>
    <x v="0"/>
  </r>
  <r>
    <s v="ORD-20214"/>
    <n v="1"/>
    <x v="305"/>
    <x v="3"/>
    <x v="3"/>
    <s v="Fatima S."/>
    <x v="1"/>
    <n v="15000"/>
    <n v="1"/>
    <n v="0"/>
    <n v="15000"/>
    <n v="0"/>
    <x v="0"/>
  </r>
  <r>
    <s v="ORD-20304"/>
    <n v="1"/>
    <x v="305"/>
    <x v="1"/>
    <x v="0"/>
    <s v="Bayo A."/>
    <x v="4"/>
    <n v="5000"/>
    <n v="1"/>
    <n v="0.2"/>
    <n v="4000"/>
    <n v="2871.93"/>
    <x v="0"/>
  </r>
  <r>
    <s v="ORD-20013"/>
    <n v="1"/>
    <x v="306"/>
    <x v="3"/>
    <x v="4"/>
    <s v="Nkechi U."/>
    <x v="4"/>
    <n v="5000"/>
    <n v="2"/>
    <n v="0"/>
    <n v="10000"/>
    <n v="1583.46"/>
    <x v="1"/>
  </r>
  <r>
    <s v="ORD-20250"/>
    <n v="1"/>
    <x v="307"/>
    <x v="3"/>
    <x v="5"/>
    <s v="Fatima S."/>
    <x v="2"/>
    <n v="8000"/>
    <n v="1"/>
    <n v="0"/>
    <n v="8000"/>
    <n v="0"/>
    <x v="0"/>
  </r>
  <r>
    <s v="ORD-20301"/>
    <n v="1"/>
    <x v="308"/>
    <x v="3"/>
    <x v="4"/>
    <s v="Bayo A."/>
    <x v="1"/>
    <n v="15000"/>
    <n v="1"/>
    <n v="0.1"/>
    <n v="13500"/>
    <n v="423.54"/>
    <x v="1"/>
  </r>
  <r>
    <s v="ORD-20161"/>
    <n v="1"/>
    <x v="309"/>
    <x v="4"/>
    <x v="4"/>
    <s v="Chidinma O."/>
    <x v="0"/>
    <n v="65000"/>
    <n v="2"/>
    <n v="0.05"/>
    <n v="123500"/>
    <n v="2922.88"/>
    <x v="0"/>
  </r>
  <r>
    <s v="ORD-20162"/>
    <n v="1"/>
    <x v="310"/>
    <x v="0"/>
    <x v="0"/>
    <s v="Chidinma O."/>
    <x v="2"/>
    <n v="8000"/>
    <n v="1"/>
    <n v="0.1"/>
    <n v="7200"/>
    <n v="1587.16"/>
    <x v="0"/>
  </r>
  <r>
    <s v="ORD-20246"/>
    <n v="1"/>
    <x v="310"/>
    <x v="3"/>
    <x v="1"/>
    <s v="Fatima S."/>
    <x v="0"/>
    <n v="65000"/>
    <n v="3"/>
    <n v="0.05"/>
    <n v="185250"/>
    <n v="1263.07"/>
    <x v="0"/>
  </r>
  <r>
    <s v="ORD-20425"/>
    <n v="1"/>
    <x v="311"/>
    <x v="0"/>
    <x v="2"/>
    <s v="Nkechi U."/>
    <x v="2"/>
    <n v="8000"/>
    <n v="2"/>
    <n v="0"/>
    <n v="16000"/>
    <n v="3244.11"/>
    <x v="1"/>
  </r>
  <r>
    <s v="ORD-20267"/>
    <n v="1"/>
    <x v="312"/>
    <x v="3"/>
    <x v="1"/>
    <s v="Bayo A."/>
    <x v="1"/>
    <n v="15000"/>
    <n v="3"/>
    <n v="0.15"/>
    <n v="38250"/>
    <n v="1639.39"/>
    <x v="1"/>
  </r>
  <r>
    <s v="ORD-20236"/>
    <n v="1"/>
    <x v="312"/>
    <x v="1"/>
    <x v="2"/>
    <s v="Fatima S."/>
    <x v="3"/>
    <n v="35000"/>
    <n v="2"/>
    <n v="0.15"/>
    <n v="59500"/>
    <n v="2844.09"/>
    <x v="1"/>
  </r>
  <r>
    <s v="ORD-20373"/>
    <n v="1"/>
    <x v="313"/>
    <x v="3"/>
    <x v="5"/>
    <s v="Bayo A."/>
    <x v="0"/>
    <n v="65000"/>
    <n v="2"/>
    <n v="0.2"/>
    <n v="104000"/>
    <n v="0"/>
    <x v="0"/>
  </r>
  <r>
    <s v="ORD-20385"/>
    <n v="1"/>
    <x v="313"/>
    <x v="4"/>
    <x v="2"/>
    <s v="Bayo A."/>
    <x v="1"/>
    <n v="15000"/>
    <n v="1"/>
    <n v="0"/>
    <n v="15000"/>
    <n v="2309.31"/>
    <x v="0"/>
  </r>
  <r>
    <s v="ORD-20181"/>
    <n v="1"/>
    <x v="313"/>
    <x v="5"/>
    <x v="0"/>
    <s v="Emeka N."/>
    <x v="3"/>
    <n v="35000"/>
    <n v="1"/>
    <n v="0.2"/>
    <n v="28000"/>
    <n v="1011.47"/>
    <x v="0"/>
  </r>
  <r>
    <s v="ORD-20395"/>
    <n v="1"/>
    <x v="313"/>
    <x v="0"/>
    <x v="6"/>
    <s v="Emeka N."/>
    <x v="4"/>
    <n v="5000"/>
    <n v="3"/>
    <n v="0.05"/>
    <n v="14250"/>
    <n v="0"/>
    <x v="1"/>
  </r>
  <r>
    <s v="ORD-20349"/>
    <n v="1"/>
    <x v="314"/>
    <x v="4"/>
    <x v="1"/>
    <s v="Chidinma O."/>
    <x v="2"/>
    <n v="8000"/>
    <n v="2"/>
    <n v="0"/>
    <n v="16000"/>
    <n v="1939.09"/>
    <x v="1"/>
  </r>
  <r>
    <s v="ORD-20083"/>
    <n v="1"/>
    <x v="315"/>
    <x v="3"/>
    <x v="0"/>
    <s v="Emeka N."/>
    <x v="1"/>
    <n v="15000"/>
    <n v="2"/>
    <n v="0"/>
    <n v="30000"/>
    <n v="1046.8900000000001"/>
    <x v="1"/>
  </r>
  <r>
    <s v="ORD-20446"/>
    <n v="1"/>
    <x v="316"/>
    <x v="4"/>
    <x v="6"/>
    <s v="Fatima S."/>
    <x v="0"/>
    <n v="65000"/>
    <n v="1"/>
    <n v="0"/>
    <n v="65000"/>
    <n v="0"/>
    <x v="1"/>
  </r>
  <r>
    <s v="ORD-20054"/>
    <n v="1"/>
    <x v="317"/>
    <x v="1"/>
    <x v="4"/>
    <s v="Fatima S."/>
    <x v="3"/>
    <n v="35000"/>
    <n v="2"/>
    <n v="0.1"/>
    <n v="63000"/>
    <n v="2942.83"/>
    <x v="0"/>
  </r>
  <r>
    <s v="ORD-20430"/>
    <n v="1"/>
    <x v="317"/>
    <x v="4"/>
    <x v="0"/>
    <s v="Chidinma O."/>
    <x v="2"/>
    <n v="8000"/>
    <n v="1"/>
    <n v="0.05"/>
    <n v="7600"/>
    <n v="690.39"/>
    <x v="0"/>
  </r>
  <r>
    <s v="ORD-20407"/>
    <n v="1"/>
    <x v="318"/>
    <x v="3"/>
    <x v="4"/>
    <s v="Chidinma O."/>
    <x v="0"/>
    <n v="65000"/>
    <n v="3"/>
    <n v="0"/>
    <n v="195000"/>
    <n v="1706.89"/>
    <x v="1"/>
  </r>
  <r>
    <s v="ORD-20090"/>
    <n v="1"/>
    <x v="319"/>
    <x v="5"/>
    <x v="6"/>
    <s v="Chidinma O."/>
    <x v="3"/>
    <n v="35000"/>
    <n v="2"/>
    <n v="0.2"/>
    <n v="56000"/>
    <n v="0"/>
    <x v="0"/>
  </r>
  <r>
    <s v="ORD-20317"/>
    <n v="1"/>
    <x v="320"/>
    <x v="1"/>
    <x v="3"/>
    <s v="Bayo A."/>
    <x v="0"/>
    <n v="65000"/>
    <n v="1"/>
    <n v="0.05"/>
    <n v="61750"/>
    <n v="0"/>
    <x v="0"/>
  </r>
  <r>
    <s v="ORD-20292"/>
    <n v="1"/>
    <x v="321"/>
    <x v="4"/>
    <x v="1"/>
    <s v="Bayo A."/>
    <x v="2"/>
    <n v="8000"/>
    <n v="3"/>
    <n v="0"/>
    <n v="24000"/>
    <n v="3158.51"/>
    <x v="0"/>
  </r>
  <r>
    <s v="ORD-20199"/>
    <n v="1"/>
    <x v="321"/>
    <x v="5"/>
    <x v="6"/>
    <s v="Emeka N."/>
    <x v="4"/>
    <n v="5000"/>
    <n v="2"/>
    <n v="0.2"/>
    <n v="8000"/>
    <n v="0"/>
    <x v="1"/>
  </r>
  <r>
    <s v="ORD-20365"/>
    <n v="1"/>
    <x v="322"/>
    <x v="1"/>
    <x v="2"/>
    <s v="Bayo A."/>
    <x v="4"/>
    <n v="5000"/>
    <n v="1"/>
    <n v="0"/>
    <n v="5000"/>
    <n v="308.58"/>
    <x v="0"/>
  </r>
  <r>
    <s v="ORD-20109"/>
    <n v="1"/>
    <x v="323"/>
    <x v="4"/>
    <x v="4"/>
    <s v="Fatima S."/>
    <x v="4"/>
    <n v="5000"/>
    <n v="2"/>
    <n v="0.2"/>
    <n v="8000"/>
    <n v="1712.3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d v="2025-01-04T00:00:00"/>
    <x v="0"/>
    <x v="0"/>
    <s v="Chidinma O."/>
    <x v="0"/>
    <n v="65000"/>
    <n v="1"/>
    <n v="0"/>
    <n v="65000"/>
    <n v="253.56"/>
    <x v="0"/>
  </r>
  <r>
    <d v="2025-01-06T00:00:00"/>
    <x v="1"/>
    <x v="1"/>
    <s v="Chidinma O."/>
    <x v="1"/>
    <n v="15000"/>
    <n v="2"/>
    <n v="0"/>
    <n v="30000"/>
    <n v="1995.19"/>
    <x v="0"/>
  </r>
  <r>
    <d v="2025-01-11T00:00:00"/>
    <x v="1"/>
    <x v="2"/>
    <s v="Fatima S."/>
    <x v="2"/>
    <n v="8000"/>
    <n v="1"/>
    <n v="0"/>
    <n v="8000"/>
    <n v="3317.43"/>
    <x v="1"/>
  </r>
  <r>
    <d v="2025-01-12T00:00:00"/>
    <x v="2"/>
    <x v="0"/>
    <s v="Emeka N."/>
    <x v="0"/>
    <n v="65000"/>
    <n v="1"/>
    <n v="0.15"/>
    <n v="55250"/>
    <n v="1910.7"/>
    <x v="0"/>
  </r>
  <r>
    <d v="2025-01-16T00:00:00"/>
    <x v="3"/>
    <x v="3"/>
    <s v="Emeka N."/>
    <x v="1"/>
    <n v="15000"/>
    <n v="1"/>
    <n v="0"/>
    <n v="15000"/>
    <n v="0"/>
    <x v="0"/>
  </r>
  <r>
    <d v="2025-01-17T00:00:00"/>
    <x v="1"/>
    <x v="1"/>
    <s v="N/A - Self-Serve."/>
    <x v="2"/>
    <n v="8000"/>
    <n v="1"/>
    <n v="0"/>
    <n v="8000"/>
    <n v="1328.78"/>
    <x v="1"/>
  </r>
  <r>
    <d v="2025-01-17T00:00:00"/>
    <x v="3"/>
    <x v="4"/>
    <s v="Chidinma O."/>
    <x v="3"/>
    <n v="35000"/>
    <n v="2"/>
    <n v="0.05"/>
    <n v="66500"/>
    <n v="671.86"/>
    <x v="1"/>
  </r>
  <r>
    <d v="2025-01-17T00:00:00"/>
    <x v="3"/>
    <x v="0"/>
    <s v="Emeka N."/>
    <x v="0"/>
    <n v="65000"/>
    <n v="2"/>
    <n v="0.05"/>
    <n v="123500"/>
    <n v="399.5"/>
    <x v="1"/>
  </r>
  <r>
    <d v="2025-01-18T00:00:00"/>
    <x v="1"/>
    <x v="2"/>
    <s v="Bayo A."/>
    <x v="0"/>
    <n v="65000"/>
    <n v="2"/>
    <n v="0"/>
    <n v="130000"/>
    <n v="2224.63"/>
    <x v="1"/>
  </r>
  <r>
    <d v="2025-01-19T00:00:00"/>
    <x v="4"/>
    <x v="1"/>
    <s v="Tunde K."/>
    <x v="3"/>
    <n v="35000"/>
    <n v="2"/>
    <n v="0.15"/>
    <n v="59500"/>
    <n v="3207.53"/>
    <x v="0"/>
  </r>
  <r>
    <d v="2025-01-20T00:00:00"/>
    <x v="2"/>
    <x v="2"/>
    <s v="Chidinma O."/>
    <x v="4"/>
    <n v="5000"/>
    <n v="2"/>
    <n v="0"/>
    <n v="10000"/>
    <n v="2738.4"/>
    <x v="0"/>
  </r>
  <r>
    <d v="2025-01-20T00:00:00"/>
    <x v="3"/>
    <x v="4"/>
    <s v="Nkechi U."/>
    <x v="3"/>
    <n v="35000"/>
    <n v="3"/>
    <n v="0.05"/>
    <n v="99750"/>
    <n v="3380.91"/>
    <x v="1"/>
  </r>
  <r>
    <d v="2025-01-21T00:00:00"/>
    <x v="1"/>
    <x v="4"/>
    <s v="Chidinma O."/>
    <x v="4"/>
    <n v="5000"/>
    <n v="2"/>
    <n v="0"/>
    <n v="10000"/>
    <n v="1273.32"/>
    <x v="0"/>
  </r>
  <r>
    <d v="2025-01-23T00:00:00"/>
    <x v="4"/>
    <x v="2"/>
    <s v="Bayo A."/>
    <x v="2"/>
    <n v="8000"/>
    <n v="2"/>
    <n v="0"/>
    <n v="16000"/>
    <n v="1580.54"/>
    <x v="1"/>
  </r>
  <r>
    <d v="2025-01-23T00:00:00"/>
    <x v="0"/>
    <x v="1"/>
    <s v="Nkechi U."/>
    <x v="2"/>
    <n v="8000"/>
    <n v="1"/>
    <n v="0.1"/>
    <n v="7200"/>
    <n v="2072.63"/>
    <x v="0"/>
  </r>
  <r>
    <d v="2025-01-24T00:00:00"/>
    <x v="3"/>
    <x v="4"/>
    <s v="Bayo A."/>
    <x v="0"/>
    <n v="65000"/>
    <n v="2"/>
    <n v="0.2"/>
    <n v="104000"/>
    <n v="1701.92"/>
    <x v="1"/>
  </r>
  <r>
    <d v="2025-01-24T00:00:00"/>
    <x v="0"/>
    <x v="5"/>
    <s v="Nkechi U."/>
    <x v="4"/>
    <n v="5000"/>
    <n v="2"/>
    <n v="0.1"/>
    <n v="9000"/>
    <n v="0"/>
    <x v="0"/>
  </r>
  <r>
    <d v="2025-01-28T00:00:00"/>
    <x v="2"/>
    <x v="1"/>
    <s v="Chidinma O."/>
    <x v="1"/>
    <n v="15000"/>
    <n v="1"/>
    <n v="0"/>
    <n v="15000"/>
    <n v="3207.99"/>
    <x v="0"/>
  </r>
  <r>
    <d v="2025-01-28T00:00:00"/>
    <x v="0"/>
    <x v="0"/>
    <s v="Chidinma O."/>
    <x v="0"/>
    <n v="65000"/>
    <n v="1"/>
    <n v="0.05"/>
    <n v="61750"/>
    <n v="2494.77"/>
    <x v="0"/>
  </r>
  <r>
    <d v="2025-01-31T00:00:00"/>
    <x v="4"/>
    <x v="6"/>
    <s v="Rep Not Recorded"/>
    <x v="0"/>
    <n v="65000"/>
    <n v="2"/>
    <n v="0.1"/>
    <n v="117000"/>
    <n v="0"/>
    <x v="0"/>
  </r>
  <r>
    <d v="2025-02-01T00:00:00"/>
    <x v="4"/>
    <x v="3"/>
    <s v="Chidinma O."/>
    <x v="1"/>
    <n v="15000"/>
    <n v="3"/>
    <n v="0"/>
    <n v="45000"/>
    <n v="0"/>
    <x v="0"/>
  </r>
  <r>
    <d v="2025-02-02T00:00:00"/>
    <x v="0"/>
    <x v="2"/>
    <s v="Emeka N."/>
    <x v="2"/>
    <n v="8000"/>
    <n v="2"/>
    <n v="0"/>
    <n v="16000"/>
    <n v="1412.72"/>
    <x v="0"/>
  </r>
  <r>
    <d v="2025-02-05T00:00:00"/>
    <x v="1"/>
    <x v="4"/>
    <s v="Bayo A."/>
    <x v="2"/>
    <n v="8000"/>
    <n v="1"/>
    <n v="0.1"/>
    <n v="7200"/>
    <n v="1299.02"/>
    <x v="1"/>
  </r>
  <r>
    <d v="2025-02-10T00:00:00"/>
    <x v="4"/>
    <x v="4"/>
    <s v="Nkechi U."/>
    <x v="3"/>
    <n v="35000"/>
    <n v="2"/>
    <n v="0.1"/>
    <n v="63000"/>
    <n v="501.7"/>
    <x v="0"/>
  </r>
  <r>
    <d v="2025-02-11T00:00:00"/>
    <x v="3"/>
    <x v="0"/>
    <s v="Tunde K."/>
    <x v="3"/>
    <n v="35000"/>
    <n v="2"/>
    <n v="0.05"/>
    <n v="66500"/>
    <n v="2639.8"/>
    <x v="1"/>
  </r>
  <r>
    <d v="2025-02-12T00:00:00"/>
    <x v="5"/>
    <x v="3"/>
    <s v="Nkechi U."/>
    <x v="4"/>
    <n v="5000"/>
    <n v="3"/>
    <n v="0.15"/>
    <n v="12750"/>
    <n v="0"/>
    <x v="0"/>
  </r>
  <r>
    <d v="2025-02-15T00:00:00"/>
    <x v="3"/>
    <x v="6"/>
    <s v="Bayo A."/>
    <x v="0"/>
    <n v="65000"/>
    <n v="1"/>
    <n v="0"/>
    <n v="65000"/>
    <n v="0"/>
    <x v="0"/>
  </r>
  <r>
    <d v="2025-02-16T00:00:00"/>
    <x v="1"/>
    <x v="1"/>
    <s v="Emeka N."/>
    <x v="1"/>
    <n v="15000"/>
    <n v="1"/>
    <n v="0.05"/>
    <n v="14250"/>
    <n v="2564.38"/>
    <x v="1"/>
  </r>
  <r>
    <d v="2025-02-18T00:00:00"/>
    <x v="3"/>
    <x v="2"/>
    <s v="Fatima S."/>
    <x v="1"/>
    <n v="15000"/>
    <n v="1"/>
    <n v="0.1"/>
    <n v="13500"/>
    <n v="986.74"/>
    <x v="1"/>
  </r>
  <r>
    <d v="2025-02-18T00:00:00"/>
    <x v="0"/>
    <x v="3"/>
    <s v="Emeka N."/>
    <x v="2"/>
    <n v="8000"/>
    <n v="1"/>
    <n v="0.15"/>
    <n v="6800"/>
    <n v="0"/>
    <x v="1"/>
  </r>
  <r>
    <d v="2025-02-18T00:00:00"/>
    <x v="3"/>
    <x v="4"/>
    <s v="N/A - Self-Serve."/>
    <x v="2"/>
    <n v="8000"/>
    <n v="2"/>
    <n v="0"/>
    <n v="16000"/>
    <n v="1269.3900000000001"/>
    <x v="0"/>
  </r>
  <r>
    <d v="2025-02-25T00:00:00"/>
    <x v="1"/>
    <x v="1"/>
    <s v="Bayo A."/>
    <x v="4"/>
    <n v="5000"/>
    <n v="2"/>
    <n v="0"/>
    <n v="10000"/>
    <n v="2573.34"/>
    <x v="0"/>
  </r>
  <r>
    <d v="2025-02-26T00:00:00"/>
    <x v="3"/>
    <x v="3"/>
    <s v="Bayo A."/>
    <x v="4"/>
    <n v="5000"/>
    <n v="2"/>
    <n v="0"/>
    <n v="10000"/>
    <n v="0"/>
    <x v="0"/>
  </r>
  <r>
    <d v="2025-02-28T00:00:00"/>
    <x v="1"/>
    <x v="4"/>
    <s v="Emeka N."/>
    <x v="0"/>
    <n v="65000"/>
    <n v="1"/>
    <n v="0.2"/>
    <n v="52000"/>
    <n v="2587.4"/>
    <x v="0"/>
  </r>
  <r>
    <d v="2025-03-01T00:00:00"/>
    <x v="3"/>
    <x v="5"/>
    <s v="Fatima S."/>
    <x v="4"/>
    <n v="5000"/>
    <n v="2"/>
    <n v="0"/>
    <n v="10000"/>
    <n v="0"/>
    <x v="0"/>
  </r>
  <r>
    <d v="2025-03-04T00:00:00"/>
    <x v="1"/>
    <x v="1"/>
    <s v="Chidinma O."/>
    <x v="0"/>
    <n v="65000"/>
    <n v="1"/>
    <n v="0.05"/>
    <n v="61750"/>
    <n v="2257.0500000000002"/>
    <x v="0"/>
  </r>
  <r>
    <d v="2025-03-05T00:00:00"/>
    <x v="0"/>
    <x v="1"/>
    <s v="N/A - Self-Serve."/>
    <x v="1"/>
    <n v="15000"/>
    <n v="2"/>
    <n v="0.05"/>
    <n v="28500"/>
    <n v="1231.42"/>
    <x v="1"/>
  </r>
  <r>
    <d v="2025-03-05T00:00:00"/>
    <x v="3"/>
    <x v="2"/>
    <s v="Tunde K."/>
    <x v="2"/>
    <n v="8000"/>
    <n v="2"/>
    <n v="0.1"/>
    <n v="14400"/>
    <n v="1519.14"/>
    <x v="1"/>
  </r>
  <r>
    <d v="2025-03-06T00:00:00"/>
    <x v="4"/>
    <x v="3"/>
    <s v="Chidinma O."/>
    <x v="1"/>
    <n v="15000"/>
    <n v="1"/>
    <n v="0"/>
    <n v="15000"/>
    <n v="0"/>
    <x v="1"/>
  </r>
  <r>
    <d v="2025-03-06T00:00:00"/>
    <x v="4"/>
    <x v="0"/>
    <s v="Tunde K."/>
    <x v="1"/>
    <n v="15000"/>
    <n v="1"/>
    <n v="0"/>
    <n v="15000"/>
    <n v="236.39"/>
    <x v="0"/>
  </r>
  <r>
    <d v="2025-03-07T00:00:00"/>
    <x v="3"/>
    <x v="4"/>
    <s v="Chidinma O."/>
    <x v="0"/>
    <n v="65000"/>
    <n v="3"/>
    <n v="0"/>
    <n v="195000"/>
    <n v="802.24"/>
    <x v="1"/>
  </r>
  <r>
    <d v="2025-03-08T00:00:00"/>
    <x v="1"/>
    <x v="6"/>
    <s v="Chidinma O."/>
    <x v="4"/>
    <n v="5000"/>
    <n v="2"/>
    <n v="0.05"/>
    <n v="9500"/>
    <n v="0"/>
    <x v="1"/>
  </r>
  <r>
    <d v="2025-03-08T00:00:00"/>
    <x v="1"/>
    <x v="0"/>
    <s v="Fatima S."/>
    <x v="1"/>
    <n v="15000"/>
    <n v="3"/>
    <n v="0"/>
    <n v="45000"/>
    <n v="1908.28"/>
    <x v="0"/>
  </r>
  <r>
    <d v="2025-03-10T00:00:00"/>
    <x v="0"/>
    <x v="0"/>
    <s v="N/A - Self-Serve."/>
    <x v="2"/>
    <n v="8000"/>
    <n v="1"/>
    <n v="0.05"/>
    <n v="7600"/>
    <n v="3376.8"/>
    <x v="1"/>
  </r>
  <r>
    <d v="2025-03-10T00:00:00"/>
    <x v="2"/>
    <x v="4"/>
    <s v="Bayo A."/>
    <x v="0"/>
    <n v="65000"/>
    <n v="1"/>
    <n v="0"/>
    <n v="65000"/>
    <n v="1695.2"/>
    <x v="0"/>
  </r>
  <r>
    <d v="2025-03-12T00:00:00"/>
    <x v="3"/>
    <x v="4"/>
    <s v="Chidinma O."/>
    <x v="0"/>
    <n v="65000"/>
    <n v="1"/>
    <n v="0.2"/>
    <n v="52000"/>
    <n v="860.63"/>
    <x v="0"/>
  </r>
  <r>
    <d v="2025-03-12T00:00:00"/>
    <x v="3"/>
    <x v="1"/>
    <s v="Bayo A."/>
    <x v="3"/>
    <n v="35000"/>
    <n v="2"/>
    <n v="0.1"/>
    <n v="63000"/>
    <n v="1124.72"/>
    <x v="1"/>
  </r>
  <r>
    <d v="2025-03-15T00:00:00"/>
    <x v="4"/>
    <x v="1"/>
    <s v="Nkechi U."/>
    <x v="1"/>
    <n v="15000"/>
    <n v="2"/>
    <n v="0"/>
    <n v="30000"/>
    <n v="2878.49"/>
    <x v="1"/>
  </r>
  <r>
    <d v="2025-03-15T00:00:00"/>
    <x v="2"/>
    <x v="0"/>
    <s v="Fatima S."/>
    <x v="1"/>
    <n v="15000"/>
    <n v="3"/>
    <n v="0"/>
    <n v="45000"/>
    <n v="3103.31"/>
    <x v="1"/>
  </r>
  <r>
    <d v="2025-03-16T00:00:00"/>
    <x v="1"/>
    <x v="0"/>
    <s v="Chidinma O."/>
    <x v="4"/>
    <n v="5000"/>
    <n v="3"/>
    <n v="0"/>
    <n v="15000"/>
    <n v="2859.49"/>
    <x v="0"/>
  </r>
  <r>
    <d v="2025-03-16T00:00:00"/>
    <x v="1"/>
    <x v="4"/>
    <s v="Chidinma O."/>
    <x v="0"/>
    <n v="65000"/>
    <n v="1"/>
    <n v="0"/>
    <n v="65000"/>
    <n v="1912.38"/>
    <x v="1"/>
  </r>
  <r>
    <d v="2025-03-16T00:00:00"/>
    <x v="2"/>
    <x v="6"/>
    <s v="Tunde K."/>
    <x v="1"/>
    <n v="15000"/>
    <n v="1"/>
    <n v="0"/>
    <n v="15000"/>
    <n v="0"/>
    <x v="0"/>
  </r>
  <r>
    <d v="2025-03-16T00:00:00"/>
    <x v="3"/>
    <x v="4"/>
    <s v="Emeka N."/>
    <x v="4"/>
    <n v="5000"/>
    <n v="2"/>
    <n v="0"/>
    <n v="10000"/>
    <n v="2730.64"/>
    <x v="1"/>
  </r>
  <r>
    <d v="2025-03-18T00:00:00"/>
    <x v="3"/>
    <x v="1"/>
    <s v="Nkechi U."/>
    <x v="1"/>
    <n v="15000"/>
    <n v="2"/>
    <n v="0.15"/>
    <n v="25500"/>
    <n v="1446.86"/>
    <x v="1"/>
  </r>
  <r>
    <d v="2025-03-19T00:00:00"/>
    <x v="3"/>
    <x v="6"/>
    <s v="Rep Not Recorded"/>
    <x v="0"/>
    <n v="65000"/>
    <n v="2"/>
    <n v="0.15"/>
    <n v="110500"/>
    <n v="0"/>
    <x v="1"/>
  </r>
  <r>
    <d v="2025-03-19T00:00:00"/>
    <x v="2"/>
    <x v="1"/>
    <s v="Fatima S."/>
    <x v="1"/>
    <n v="15000"/>
    <n v="1"/>
    <n v="0.2"/>
    <n v="12000"/>
    <n v="3313.32"/>
    <x v="1"/>
  </r>
  <r>
    <d v="2025-03-20T00:00:00"/>
    <x v="2"/>
    <x v="6"/>
    <s v="Tunde K."/>
    <x v="2"/>
    <n v="8000"/>
    <n v="1"/>
    <n v="0"/>
    <n v="8000"/>
    <n v="0"/>
    <x v="1"/>
  </r>
  <r>
    <d v="2025-03-20T00:00:00"/>
    <x v="4"/>
    <x v="1"/>
    <s v="Emeka N."/>
    <x v="2"/>
    <n v="8000"/>
    <n v="2"/>
    <n v="0.15"/>
    <n v="13600"/>
    <n v="2514.13"/>
    <x v="1"/>
  </r>
  <r>
    <d v="2025-03-25T00:00:00"/>
    <x v="3"/>
    <x v="1"/>
    <s v="Tunde K."/>
    <x v="4"/>
    <n v="5000"/>
    <n v="3"/>
    <n v="0.2"/>
    <n v="12000"/>
    <n v="1133.6199999999999"/>
    <x v="1"/>
  </r>
  <r>
    <d v="2025-03-30T00:00:00"/>
    <x v="1"/>
    <x v="0"/>
    <s v="Bayo A."/>
    <x v="2"/>
    <n v="8000"/>
    <n v="2"/>
    <n v="0"/>
    <n v="16000"/>
    <n v="1577.01"/>
    <x v="1"/>
  </r>
  <r>
    <d v="2025-04-04T00:00:00"/>
    <x v="3"/>
    <x v="1"/>
    <s v="Bayo A."/>
    <x v="0"/>
    <n v="65000"/>
    <n v="2"/>
    <n v="0"/>
    <n v="130000"/>
    <n v="3412.81"/>
    <x v="1"/>
  </r>
  <r>
    <d v="2025-04-08T00:00:00"/>
    <x v="3"/>
    <x v="6"/>
    <s v="Nkechi U."/>
    <x v="2"/>
    <n v="8000"/>
    <n v="1"/>
    <n v="0"/>
    <n v="8000"/>
    <n v="0"/>
    <x v="0"/>
  </r>
  <r>
    <d v="2025-04-10T00:00:00"/>
    <x v="4"/>
    <x v="2"/>
    <s v="Bayo A."/>
    <x v="3"/>
    <n v="35000"/>
    <n v="1"/>
    <n v="0.15"/>
    <n v="29750"/>
    <n v="1056.3399999999999"/>
    <x v="0"/>
  </r>
  <r>
    <d v="2025-04-10T00:00:00"/>
    <x v="2"/>
    <x v="4"/>
    <s v="Bayo A."/>
    <x v="0"/>
    <n v="65000"/>
    <n v="2"/>
    <n v="0.1"/>
    <n v="117000"/>
    <n v="1840.84"/>
    <x v="0"/>
  </r>
  <r>
    <d v="2025-04-10T00:00:00"/>
    <x v="3"/>
    <x v="1"/>
    <s v="Bayo A."/>
    <x v="0"/>
    <n v="65000"/>
    <n v="2"/>
    <n v="0"/>
    <n v="130000"/>
    <n v="711.74"/>
    <x v="0"/>
  </r>
  <r>
    <d v="2025-04-11T00:00:00"/>
    <x v="1"/>
    <x v="3"/>
    <s v="Bayo A."/>
    <x v="1"/>
    <n v="15000"/>
    <n v="2"/>
    <n v="0.1"/>
    <n v="27000"/>
    <n v="0"/>
    <x v="0"/>
  </r>
  <r>
    <d v="2025-04-12T00:00:00"/>
    <x v="1"/>
    <x v="6"/>
    <s v="Bayo A."/>
    <x v="1"/>
    <n v="15000"/>
    <n v="1"/>
    <n v="0"/>
    <n v="15000"/>
    <n v="0"/>
    <x v="1"/>
  </r>
  <r>
    <d v="2025-04-13T00:00:00"/>
    <x v="1"/>
    <x v="4"/>
    <s v="Chidinma O."/>
    <x v="1"/>
    <n v="15000"/>
    <n v="2"/>
    <n v="0.1"/>
    <n v="27000"/>
    <n v="1475.2"/>
    <x v="1"/>
  </r>
  <r>
    <d v="2025-04-13T00:00:00"/>
    <x v="4"/>
    <x v="6"/>
    <s v="Chidinma O."/>
    <x v="1"/>
    <n v="15000"/>
    <n v="1"/>
    <n v="0"/>
    <n v="15000"/>
    <n v="0"/>
    <x v="1"/>
  </r>
  <r>
    <d v="2025-04-13T00:00:00"/>
    <x v="3"/>
    <x v="6"/>
    <s v="Emeka N."/>
    <x v="1"/>
    <n v="15000"/>
    <n v="1"/>
    <n v="0.2"/>
    <n v="12000"/>
    <n v="0"/>
    <x v="0"/>
  </r>
  <r>
    <d v="2025-04-16T00:00:00"/>
    <x v="1"/>
    <x v="1"/>
    <s v="Emeka N."/>
    <x v="0"/>
    <n v="65000"/>
    <n v="2"/>
    <n v="0"/>
    <n v="130000"/>
    <n v="1363.45"/>
    <x v="0"/>
  </r>
  <r>
    <d v="2025-04-18T00:00:00"/>
    <x v="0"/>
    <x v="4"/>
    <s v="Nkechi U."/>
    <x v="1"/>
    <n v="15000"/>
    <n v="1"/>
    <n v="0.15"/>
    <n v="12750"/>
    <n v="521.58000000000004"/>
    <x v="1"/>
  </r>
  <r>
    <d v="2025-04-19T00:00:00"/>
    <x v="4"/>
    <x v="0"/>
    <s v="Bayo A."/>
    <x v="1"/>
    <n v="15000"/>
    <n v="2"/>
    <n v="0.1"/>
    <n v="27000"/>
    <n v="683.63"/>
    <x v="1"/>
  </r>
  <r>
    <d v="2025-04-20T00:00:00"/>
    <x v="2"/>
    <x v="1"/>
    <s v="Bayo A."/>
    <x v="3"/>
    <n v="35000"/>
    <n v="1"/>
    <n v="0"/>
    <n v="35000"/>
    <n v="206.99"/>
    <x v="1"/>
  </r>
  <r>
    <d v="2025-04-23T00:00:00"/>
    <x v="0"/>
    <x v="4"/>
    <s v="Bayo A."/>
    <x v="0"/>
    <n v="65000"/>
    <n v="1"/>
    <n v="0"/>
    <n v="65000"/>
    <n v="844.49"/>
    <x v="0"/>
  </r>
  <r>
    <d v="2025-04-26T00:00:00"/>
    <x v="2"/>
    <x v="2"/>
    <s v="Chidinma O."/>
    <x v="2"/>
    <n v="8000"/>
    <n v="3"/>
    <n v="0.05"/>
    <n v="22800"/>
    <n v="736.48"/>
    <x v="1"/>
  </r>
  <r>
    <d v="2025-04-28T00:00:00"/>
    <x v="4"/>
    <x v="1"/>
    <s v="Bayo A."/>
    <x v="3"/>
    <n v="35000"/>
    <n v="1"/>
    <n v="0"/>
    <n v="35000"/>
    <n v="2113.27"/>
    <x v="1"/>
  </r>
  <r>
    <d v="2025-04-29T00:00:00"/>
    <x v="0"/>
    <x v="0"/>
    <s v="Tunde K."/>
    <x v="0"/>
    <n v="65000"/>
    <n v="2"/>
    <n v="0.1"/>
    <n v="117000"/>
    <n v="1213.8900000000001"/>
    <x v="0"/>
  </r>
  <r>
    <d v="2025-04-29T00:00:00"/>
    <x v="0"/>
    <x v="0"/>
    <s v="Emeka N."/>
    <x v="2"/>
    <n v="8000"/>
    <n v="3"/>
    <n v="0.2"/>
    <n v="19200"/>
    <n v="2849.38"/>
    <x v="1"/>
  </r>
  <r>
    <d v="2025-04-30T00:00:00"/>
    <x v="2"/>
    <x v="5"/>
    <s v="Fatima S."/>
    <x v="4"/>
    <n v="5000"/>
    <n v="1"/>
    <n v="0"/>
    <n v="5000"/>
    <n v="0"/>
    <x v="0"/>
  </r>
  <r>
    <d v="2025-05-01T00:00:00"/>
    <x v="3"/>
    <x v="2"/>
    <s v="Chidinma O."/>
    <x v="3"/>
    <n v="35000"/>
    <n v="2"/>
    <n v="0.05"/>
    <n v="66500"/>
    <n v="3002.36"/>
    <x v="0"/>
  </r>
  <r>
    <d v="2025-05-01T00:00:00"/>
    <x v="0"/>
    <x v="0"/>
    <s v="Bayo A."/>
    <x v="2"/>
    <n v="8000"/>
    <n v="2"/>
    <n v="0"/>
    <n v="16000"/>
    <n v="1100.49"/>
    <x v="1"/>
  </r>
  <r>
    <d v="2025-05-01T00:00:00"/>
    <x v="3"/>
    <x v="0"/>
    <s v="Fatima S."/>
    <x v="3"/>
    <n v="35000"/>
    <n v="2"/>
    <n v="0"/>
    <n v="70000"/>
    <n v="1852.05"/>
    <x v="1"/>
  </r>
  <r>
    <d v="2025-05-02T00:00:00"/>
    <x v="3"/>
    <x v="0"/>
    <s v="Bayo A."/>
    <x v="1"/>
    <n v="15000"/>
    <n v="1"/>
    <n v="0"/>
    <n v="15000"/>
    <n v="2623.64"/>
    <x v="1"/>
  </r>
  <r>
    <d v="2025-05-02T00:00:00"/>
    <x v="5"/>
    <x v="3"/>
    <s v="Nkechi U."/>
    <x v="3"/>
    <n v="35000"/>
    <n v="1"/>
    <n v="0.1"/>
    <n v="31500"/>
    <n v="0"/>
    <x v="0"/>
  </r>
  <r>
    <d v="2025-05-03T00:00:00"/>
    <x v="4"/>
    <x v="3"/>
    <s v="Chidinma O."/>
    <x v="0"/>
    <n v="65000"/>
    <n v="1"/>
    <n v="0"/>
    <n v="65000"/>
    <n v="0"/>
    <x v="1"/>
  </r>
  <r>
    <d v="2025-05-04T00:00:00"/>
    <x v="4"/>
    <x v="0"/>
    <s v="Tunde K."/>
    <x v="3"/>
    <n v="35000"/>
    <n v="1"/>
    <n v="0"/>
    <n v="35000"/>
    <n v="2431.9499999999998"/>
    <x v="0"/>
  </r>
  <r>
    <d v="2025-05-05T00:00:00"/>
    <x v="1"/>
    <x v="4"/>
    <s v="Chidinma O."/>
    <x v="4"/>
    <n v="5000"/>
    <n v="2"/>
    <n v="0.15"/>
    <n v="8500"/>
    <n v="2715.99"/>
    <x v="0"/>
  </r>
  <r>
    <d v="2025-05-05T00:00:00"/>
    <x v="4"/>
    <x v="6"/>
    <s v="Bayo A."/>
    <x v="1"/>
    <n v="15000"/>
    <n v="3"/>
    <n v="0"/>
    <n v="45000"/>
    <n v="0"/>
    <x v="0"/>
  </r>
  <r>
    <d v="2025-05-07T00:00:00"/>
    <x v="0"/>
    <x v="6"/>
    <s v="Chidinma O."/>
    <x v="0"/>
    <n v="65000"/>
    <n v="2"/>
    <n v="0.15"/>
    <n v="110500"/>
    <n v="0"/>
    <x v="1"/>
  </r>
  <r>
    <d v="2025-05-09T00:00:00"/>
    <x v="3"/>
    <x v="6"/>
    <s v="Chidinma O."/>
    <x v="4"/>
    <n v="5000"/>
    <n v="2"/>
    <n v="0.2"/>
    <n v="8000"/>
    <n v="0"/>
    <x v="0"/>
  </r>
  <r>
    <d v="2025-05-12T00:00:00"/>
    <x v="1"/>
    <x v="5"/>
    <s v="Nkechi U."/>
    <x v="2"/>
    <n v="8000"/>
    <n v="2"/>
    <n v="0"/>
    <n v="16000"/>
    <n v="0"/>
    <x v="0"/>
  </r>
  <r>
    <d v="2025-05-12T00:00:00"/>
    <x v="1"/>
    <x v="3"/>
    <s v="Bayo A."/>
    <x v="0"/>
    <n v="65000"/>
    <n v="1"/>
    <n v="0.1"/>
    <n v="58500"/>
    <n v="0"/>
    <x v="1"/>
  </r>
  <r>
    <d v="2025-05-12T00:00:00"/>
    <x v="0"/>
    <x v="0"/>
    <s v="Nkechi U."/>
    <x v="0"/>
    <n v="65000"/>
    <n v="1"/>
    <n v="0.2"/>
    <n v="52000"/>
    <n v="588.22"/>
    <x v="1"/>
  </r>
  <r>
    <d v="2025-05-12T00:00:00"/>
    <x v="3"/>
    <x v="5"/>
    <s v="Bayo A."/>
    <x v="2"/>
    <n v="8000"/>
    <n v="1"/>
    <n v="0"/>
    <n v="8000"/>
    <n v="0"/>
    <x v="0"/>
  </r>
  <r>
    <d v="2025-05-13T00:00:00"/>
    <x v="1"/>
    <x v="2"/>
    <s v="Fatima S."/>
    <x v="2"/>
    <n v="8000"/>
    <n v="2"/>
    <n v="0"/>
    <n v="16000"/>
    <n v="1364.12"/>
    <x v="1"/>
  </r>
  <r>
    <d v="2025-05-16T00:00:00"/>
    <x v="4"/>
    <x v="3"/>
    <s v="Tunde K."/>
    <x v="4"/>
    <n v="5000"/>
    <n v="2"/>
    <n v="0"/>
    <n v="10000"/>
    <n v="0"/>
    <x v="0"/>
  </r>
  <r>
    <d v="2025-05-18T00:00:00"/>
    <x v="5"/>
    <x v="2"/>
    <s v="Bayo A."/>
    <x v="1"/>
    <n v="15000"/>
    <n v="1"/>
    <n v="0"/>
    <n v="15000"/>
    <n v="2830.17"/>
    <x v="1"/>
  </r>
  <r>
    <d v="2025-05-22T00:00:00"/>
    <x v="4"/>
    <x v="6"/>
    <s v="Fatima S."/>
    <x v="4"/>
    <n v="5000"/>
    <n v="3"/>
    <n v="0"/>
    <n v="15000"/>
    <n v="0"/>
    <x v="1"/>
  </r>
  <r>
    <d v="2025-05-22T00:00:00"/>
    <x v="4"/>
    <x v="2"/>
    <s v="Nkechi U."/>
    <x v="0"/>
    <n v="65000"/>
    <n v="3"/>
    <n v="0.15"/>
    <n v="165750"/>
    <n v="2146.59"/>
    <x v="0"/>
  </r>
  <r>
    <d v="2025-05-24T00:00:00"/>
    <x v="2"/>
    <x v="6"/>
    <s v="Chidinma O."/>
    <x v="4"/>
    <n v="5000"/>
    <n v="2"/>
    <n v="0"/>
    <n v="10000"/>
    <n v="0"/>
    <x v="0"/>
  </r>
  <r>
    <d v="2025-05-24T00:00:00"/>
    <x v="1"/>
    <x v="6"/>
    <s v="Chidinma O."/>
    <x v="4"/>
    <n v="5000"/>
    <n v="2"/>
    <n v="0"/>
    <n v="10000"/>
    <n v="0"/>
    <x v="0"/>
  </r>
  <r>
    <d v="2025-05-25T00:00:00"/>
    <x v="1"/>
    <x v="1"/>
    <s v="Tunde K."/>
    <x v="0"/>
    <n v="65000"/>
    <n v="2"/>
    <n v="0.15"/>
    <n v="110500"/>
    <n v="1870.37"/>
    <x v="0"/>
  </r>
  <r>
    <d v="2025-05-27T00:00:00"/>
    <x v="0"/>
    <x v="1"/>
    <s v="Bayo A."/>
    <x v="1"/>
    <n v="15000"/>
    <n v="3"/>
    <n v="0.2"/>
    <n v="36000"/>
    <n v="211.9"/>
    <x v="1"/>
  </r>
  <r>
    <d v="2025-05-27T00:00:00"/>
    <x v="1"/>
    <x v="0"/>
    <s v="Chidinma O."/>
    <x v="0"/>
    <n v="65000"/>
    <n v="2"/>
    <n v="0.05"/>
    <n v="123500"/>
    <n v="479.26"/>
    <x v="0"/>
  </r>
  <r>
    <d v="2025-05-30T00:00:00"/>
    <x v="0"/>
    <x v="2"/>
    <s v="Tunde K."/>
    <x v="1"/>
    <n v="15000"/>
    <n v="1"/>
    <n v="0.15"/>
    <n v="12750"/>
    <n v="994.84"/>
    <x v="0"/>
  </r>
  <r>
    <d v="2025-05-30T00:00:00"/>
    <x v="0"/>
    <x v="6"/>
    <s v="Tunde K."/>
    <x v="4"/>
    <n v="5000"/>
    <n v="1"/>
    <n v="0"/>
    <n v="5000"/>
    <n v="0"/>
    <x v="0"/>
  </r>
  <r>
    <d v="2025-06-05T00:00:00"/>
    <x v="1"/>
    <x v="0"/>
    <s v="Tunde K."/>
    <x v="0"/>
    <n v="65000"/>
    <n v="1"/>
    <n v="0.15"/>
    <n v="55250"/>
    <n v="1909.49"/>
    <x v="1"/>
  </r>
  <r>
    <d v="2025-06-07T00:00:00"/>
    <x v="4"/>
    <x v="2"/>
    <s v="Emeka N."/>
    <x v="3"/>
    <n v="35000"/>
    <n v="2"/>
    <n v="0"/>
    <n v="70000"/>
    <n v="722.97"/>
    <x v="1"/>
  </r>
  <r>
    <d v="2025-06-08T00:00:00"/>
    <x v="3"/>
    <x v="1"/>
    <s v="Chidinma O."/>
    <x v="2"/>
    <n v="8000"/>
    <n v="2"/>
    <n v="0"/>
    <n v="16000"/>
    <n v="2239.44"/>
    <x v="1"/>
  </r>
  <r>
    <d v="2025-06-08T00:00:00"/>
    <x v="1"/>
    <x v="3"/>
    <s v="Bayo A."/>
    <x v="3"/>
    <n v="35000"/>
    <n v="1"/>
    <n v="0.2"/>
    <n v="28000"/>
    <n v="0"/>
    <x v="0"/>
  </r>
  <r>
    <d v="2025-06-09T00:00:00"/>
    <x v="5"/>
    <x v="6"/>
    <s v="Bayo A."/>
    <x v="1"/>
    <n v="15000"/>
    <n v="1"/>
    <n v="0"/>
    <n v="15000"/>
    <n v="0"/>
    <x v="0"/>
  </r>
  <r>
    <d v="2025-06-10T00:00:00"/>
    <x v="4"/>
    <x v="6"/>
    <s v="Chidinma O."/>
    <x v="3"/>
    <n v="35000"/>
    <n v="2"/>
    <n v="0"/>
    <n v="70000"/>
    <n v="0"/>
    <x v="0"/>
  </r>
  <r>
    <d v="2025-06-10T00:00:00"/>
    <x v="0"/>
    <x v="2"/>
    <s v="Nkechi U."/>
    <x v="3"/>
    <n v="35000"/>
    <n v="1"/>
    <n v="0.2"/>
    <n v="28000"/>
    <n v="2301.9899999999998"/>
    <x v="0"/>
  </r>
  <r>
    <d v="2025-06-11T00:00:00"/>
    <x v="3"/>
    <x v="2"/>
    <s v="Tunde K."/>
    <x v="1"/>
    <n v="15000"/>
    <n v="1"/>
    <n v="0"/>
    <n v="15000"/>
    <n v="2613.08"/>
    <x v="0"/>
  </r>
  <r>
    <d v="2025-06-13T00:00:00"/>
    <x v="1"/>
    <x v="1"/>
    <s v="Fatima S."/>
    <x v="2"/>
    <n v="8000"/>
    <n v="3"/>
    <n v="0.05"/>
    <n v="22800"/>
    <n v="1419.42"/>
    <x v="0"/>
  </r>
  <r>
    <d v="2025-06-13T00:00:00"/>
    <x v="4"/>
    <x v="2"/>
    <s v="Tunde K."/>
    <x v="3"/>
    <n v="35000"/>
    <n v="1"/>
    <n v="0.1"/>
    <n v="31500"/>
    <n v="2731.99"/>
    <x v="1"/>
  </r>
  <r>
    <d v="2025-06-16T00:00:00"/>
    <x v="3"/>
    <x v="4"/>
    <s v="Tunde K."/>
    <x v="0"/>
    <n v="65000"/>
    <n v="1"/>
    <n v="0.05"/>
    <n v="61750"/>
    <n v="2351.02"/>
    <x v="0"/>
  </r>
  <r>
    <d v="2025-06-16T00:00:00"/>
    <x v="4"/>
    <x v="7"/>
    <s v="Nkechi U."/>
    <x v="2"/>
    <n v="8000"/>
    <n v="2"/>
    <n v="0"/>
    <n v="16000"/>
    <n v="3281.66"/>
    <x v="0"/>
  </r>
  <r>
    <d v="2025-06-17T00:00:00"/>
    <x v="1"/>
    <x v="0"/>
    <s v="Bayo A."/>
    <x v="3"/>
    <n v="35000"/>
    <n v="2"/>
    <n v="0"/>
    <n v="70000"/>
    <n v="2706.68"/>
    <x v="1"/>
  </r>
  <r>
    <d v="2025-06-18T00:00:00"/>
    <x v="1"/>
    <x v="2"/>
    <s v="Emeka N."/>
    <x v="0"/>
    <n v="65000"/>
    <n v="3"/>
    <n v="0.05"/>
    <n v="185250"/>
    <n v="1204.7"/>
    <x v="1"/>
  </r>
  <r>
    <d v="2025-06-21T00:00:00"/>
    <x v="4"/>
    <x v="2"/>
    <s v="Fatima S."/>
    <x v="3"/>
    <n v="35000"/>
    <n v="2"/>
    <n v="0.05"/>
    <n v="66500"/>
    <n v="1104.33"/>
    <x v="0"/>
  </r>
  <r>
    <d v="2025-06-22T00:00:00"/>
    <x v="3"/>
    <x v="4"/>
    <s v="Chidinma O."/>
    <x v="1"/>
    <n v="15000"/>
    <n v="1"/>
    <n v="0"/>
    <n v="15000"/>
    <n v="2686.76"/>
    <x v="0"/>
  </r>
  <r>
    <d v="2025-06-27T00:00:00"/>
    <x v="0"/>
    <x v="4"/>
    <s v="Bayo A."/>
    <x v="3"/>
    <n v="35000"/>
    <n v="2"/>
    <n v="0"/>
    <n v="70000"/>
    <n v="3320.97"/>
    <x v="1"/>
  </r>
  <r>
    <d v="2025-06-27T00:00:00"/>
    <x v="3"/>
    <x v="2"/>
    <s v="Emeka N."/>
    <x v="3"/>
    <n v="35000"/>
    <n v="1"/>
    <n v="0"/>
    <n v="35000"/>
    <n v="1599.43"/>
    <x v="1"/>
  </r>
  <r>
    <d v="2025-07-02T00:00:00"/>
    <x v="2"/>
    <x v="6"/>
    <s v="Chidinma O."/>
    <x v="4"/>
    <n v="5000"/>
    <n v="2"/>
    <n v="0.15"/>
    <n v="8500"/>
    <n v="0"/>
    <x v="1"/>
  </r>
  <r>
    <d v="2025-07-03T00:00:00"/>
    <x v="3"/>
    <x v="2"/>
    <s v="Bayo A."/>
    <x v="3"/>
    <n v="35000"/>
    <n v="2"/>
    <n v="0"/>
    <n v="70000"/>
    <n v="2156.04"/>
    <x v="0"/>
  </r>
  <r>
    <d v="2025-07-04T00:00:00"/>
    <x v="1"/>
    <x v="0"/>
    <s v="Chidinma O."/>
    <x v="0"/>
    <n v="65000"/>
    <n v="3"/>
    <n v="0.2"/>
    <n v="156000"/>
    <n v="2230.23"/>
    <x v="1"/>
  </r>
  <r>
    <d v="2025-07-06T00:00:00"/>
    <x v="4"/>
    <x v="3"/>
    <s v="Fatima S."/>
    <x v="2"/>
    <n v="8000"/>
    <n v="1"/>
    <n v="0"/>
    <n v="8000"/>
    <n v="0"/>
    <x v="1"/>
  </r>
  <r>
    <d v="2025-07-07T00:00:00"/>
    <x v="4"/>
    <x v="1"/>
    <s v="Chidinma O."/>
    <x v="2"/>
    <n v="8000"/>
    <n v="1"/>
    <n v="0"/>
    <n v="8000"/>
    <n v="3206.49"/>
    <x v="0"/>
  </r>
  <r>
    <d v="2025-07-08T00:00:00"/>
    <x v="1"/>
    <x v="4"/>
    <s v="Bayo A."/>
    <x v="3"/>
    <n v="35000"/>
    <n v="2"/>
    <n v="0"/>
    <n v="70000"/>
    <n v="2162.79"/>
    <x v="1"/>
  </r>
  <r>
    <d v="2025-07-09T00:00:00"/>
    <x v="4"/>
    <x v="1"/>
    <s v="Nkechi U."/>
    <x v="4"/>
    <n v="5000"/>
    <n v="2"/>
    <n v="0.15"/>
    <n v="8500"/>
    <n v="1084.47"/>
    <x v="0"/>
  </r>
  <r>
    <d v="2025-07-12T00:00:00"/>
    <x v="3"/>
    <x v="3"/>
    <s v="Chidinma O."/>
    <x v="2"/>
    <n v="8000"/>
    <n v="2"/>
    <n v="0"/>
    <n v="16000"/>
    <n v="0"/>
    <x v="1"/>
  </r>
  <r>
    <d v="2025-07-13T00:00:00"/>
    <x v="3"/>
    <x v="4"/>
    <s v="Chidinma O."/>
    <x v="3"/>
    <n v="35000"/>
    <n v="2"/>
    <n v="0.1"/>
    <n v="63000"/>
    <n v="780.3"/>
    <x v="0"/>
  </r>
  <r>
    <d v="2025-07-14T00:00:00"/>
    <x v="3"/>
    <x v="6"/>
    <s v="Chidinma O."/>
    <x v="2"/>
    <n v="8000"/>
    <n v="3"/>
    <n v="0"/>
    <n v="24000"/>
    <n v="0"/>
    <x v="1"/>
  </r>
  <r>
    <d v="2025-07-17T00:00:00"/>
    <x v="0"/>
    <x v="1"/>
    <s v="Bayo A."/>
    <x v="4"/>
    <n v="5000"/>
    <n v="1"/>
    <n v="0.1"/>
    <n v="4500"/>
    <n v="645.15"/>
    <x v="0"/>
  </r>
  <r>
    <d v="2025-07-19T00:00:00"/>
    <x v="4"/>
    <x v="7"/>
    <s v="Chidinma O."/>
    <x v="1"/>
    <n v="15000"/>
    <n v="2"/>
    <n v="0.2"/>
    <n v="24000"/>
    <n v="1268.2"/>
    <x v="0"/>
  </r>
  <r>
    <d v="2025-07-19T00:00:00"/>
    <x v="1"/>
    <x v="4"/>
    <s v="Tunde K."/>
    <x v="1"/>
    <n v="15000"/>
    <n v="1"/>
    <n v="0.1"/>
    <n v="13500"/>
    <n v="1993.58"/>
    <x v="0"/>
  </r>
  <r>
    <d v="2025-07-21T00:00:00"/>
    <x v="4"/>
    <x v="3"/>
    <s v="Fatima S."/>
    <x v="3"/>
    <n v="35000"/>
    <n v="3"/>
    <n v="0"/>
    <n v="105000"/>
    <n v="0"/>
    <x v="0"/>
  </r>
  <r>
    <d v="2025-07-21T00:00:00"/>
    <x v="0"/>
    <x v="6"/>
    <s v="Tunde K."/>
    <x v="4"/>
    <n v="5000"/>
    <n v="1"/>
    <n v="0.2"/>
    <n v="4000"/>
    <n v="0"/>
    <x v="1"/>
  </r>
  <r>
    <d v="2025-07-22T00:00:00"/>
    <x v="4"/>
    <x v="4"/>
    <s v="Chidinma O."/>
    <x v="3"/>
    <n v="35000"/>
    <n v="1"/>
    <n v="0.05"/>
    <n v="33250"/>
    <n v="2500.4299999999998"/>
    <x v="0"/>
  </r>
  <r>
    <d v="2025-07-25T00:00:00"/>
    <x v="1"/>
    <x v="3"/>
    <s v="Emeka N."/>
    <x v="2"/>
    <n v="8000"/>
    <n v="3"/>
    <n v="0"/>
    <n v="24000"/>
    <n v="0"/>
    <x v="1"/>
  </r>
  <r>
    <d v="2025-07-25T00:00:00"/>
    <x v="4"/>
    <x v="2"/>
    <s v="Tunde K."/>
    <x v="4"/>
    <n v="5000"/>
    <n v="1"/>
    <n v="0.1"/>
    <n v="4500"/>
    <n v="892.65"/>
    <x v="1"/>
  </r>
  <r>
    <d v="2025-07-29T00:00:00"/>
    <x v="4"/>
    <x v="0"/>
    <s v="Nkechi U."/>
    <x v="2"/>
    <n v="8000"/>
    <n v="1"/>
    <n v="0.2"/>
    <n v="6400"/>
    <n v="1909.49"/>
    <x v="1"/>
  </r>
  <r>
    <d v="2025-07-31T00:00:00"/>
    <x v="4"/>
    <x v="1"/>
    <s v="Fatima S."/>
    <x v="0"/>
    <n v="65000"/>
    <n v="3"/>
    <n v="0.05"/>
    <n v="185250"/>
    <n v="3348.49"/>
    <x v="1"/>
  </r>
  <r>
    <d v="2025-07-31T00:00:00"/>
    <x v="4"/>
    <x v="0"/>
    <s v="Emeka N."/>
    <x v="0"/>
    <n v="65000"/>
    <n v="3"/>
    <n v="0"/>
    <n v="195000"/>
    <n v="1242.3900000000001"/>
    <x v="0"/>
  </r>
  <r>
    <d v="2025-08-01T00:00:00"/>
    <x v="1"/>
    <x v="1"/>
    <s v="Chidinma O."/>
    <x v="4"/>
    <n v="5000"/>
    <n v="1"/>
    <n v="0.05"/>
    <n v="4750"/>
    <n v="1241.29"/>
    <x v="0"/>
  </r>
  <r>
    <d v="2025-08-05T00:00:00"/>
    <x v="3"/>
    <x v="1"/>
    <s v="Tunde K."/>
    <x v="4"/>
    <n v="5000"/>
    <n v="2"/>
    <n v="0"/>
    <n v="10000"/>
    <n v="809.92"/>
    <x v="1"/>
  </r>
  <r>
    <d v="2025-08-06T00:00:00"/>
    <x v="4"/>
    <x v="6"/>
    <s v="Chidinma O."/>
    <x v="4"/>
    <n v="5000"/>
    <n v="3"/>
    <n v="0.15"/>
    <n v="12750"/>
    <n v="0"/>
    <x v="0"/>
  </r>
  <r>
    <d v="2025-08-07T00:00:00"/>
    <x v="4"/>
    <x v="5"/>
    <s v="Chidinma O."/>
    <x v="4"/>
    <n v="5000"/>
    <n v="3"/>
    <n v="0"/>
    <n v="15000"/>
    <n v="0"/>
    <x v="1"/>
  </r>
  <r>
    <d v="2025-08-09T00:00:00"/>
    <x v="1"/>
    <x v="6"/>
    <s v="Tunde K."/>
    <x v="1"/>
    <n v="15000"/>
    <n v="2"/>
    <n v="0.15"/>
    <n v="25500"/>
    <n v="0"/>
    <x v="1"/>
  </r>
  <r>
    <d v="2025-08-10T00:00:00"/>
    <x v="4"/>
    <x v="6"/>
    <s v="Tunde K."/>
    <x v="3"/>
    <n v="35000"/>
    <n v="2"/>
    <n v="0"/>
    <n v="70000"/>
    <n v="0"/>
    <x v="1"/>
  </r>
  <r>
    <d v="2025-08-12T00:00:00"/>
    <x v="4"/>
    <x v="0"/>
    <s v="Chidinma O."/>
    <x v="3"/>
    <n v="35000"/>
    <n v="2"/>
    <n v="0.1"/>
    <n v="63000"/>
    <n v="2633.52"/>
    <x v="0"/>
  </r>
  <r>
    <d v="2025-08-12T00:00:00"/>
    <x v="2"/>
    <x v="7"/>
    <s v="Fatima S."/>
    <x v="0"/>
    <n v="65000"/>
    <n v="1"/>
    <n v="0.05"/>
    <n v="61750"/>
    <n v="2210.65"/>
    <x v="0"/>
  </r>
  <r>
    <d v="2025-08-13T00:00:00"/>
    <x v="3"/>
    <x v="0"/>
    <s v="Tunde K."/>
    <x v="0"/>
    <n v="65000"/>
    <n v="1"/>
    <n v="0"/>
    <n v="65000"/>
    <n v="2540.61"/>
    <x v="0"/>
  </r>
  <r>
    <d v="2025-08-14T00:00:00"/>
    <x v="1"/>
    <x v="2"/>
    <s v="Tunde K."/>
    <x v="1"/>
    <n v="15000"/>
    <n v="1"/>
    <n v="0.05"/>
    <n v="14250"/>
    <n v="1128.27"/>
    <x v="1"/>
  </r>
  <r>
    <d v="2025-08-14T00:00:00"/>
    <x v="1"/>
    <x v="4"/>
    <s v="Chidinma O."/>
    <x v="2"/>
    <n v="8000"/>
    <n v="1"/>
    <n v="0.1"/>
    <n v="7200"/>
    <n v="211.54"/>
    <x v="0"/>
  </r>
  <r>
    <d v="2025-08-16T00:00:00"/>
    <x v="3"/>
    <x v="3"/>
    <s v="Nkechi U."/>
    <x v="1"/>
    <n v="15000"/>
    <n v="1"/>
    <n v="0.15"/>
    <n v="12750"/>
    <n v="0"/>
    <x v="0"/>
  </r>
  <r>
    <d v="2025-08-17T00:00:00"/>
    <x v="3"/>
    <x v="2"/>
    <s v="Nkechi U."/>
    <x v="2"/>
    <n v="8000"/>
    <n v="2"/>
    <n v="0"/>
    <n v="16000"/>
    <n v="2336.48"/>
    <x v="0"/>
  </r>
  <r>
    <d v="2025-08-18T00:00:00"/>
    <x v="3"/>
    <x v="6"/>
    <s v="Nkechi U."/>
    <x v="4"/>
    <n v="5000"/>
    <n v="3"/>
    <n v="0.05"/>
    <n v="14250"/>
    <n v="0"/>
    <x v="1"/>
  </r>
  <r>
    <d v="2025-08-20T00:00:00"/>
    <x v="2"/>
    <x v="1"/>
    <s v="N/A - Self-Serve."/>
    <x v="0"/>
    <n v="65000"/>
    <n v="2"/>
    <n v="0.15"/>
    <n v="110500"/>
    <n v="1498.6"/>
    <x v="1"/>
  </r>
  <r>
    <d v="2025-08-20T00:00:00"/>
    <x v="3"/>
    <x v="0"/>
    <s v="Bayo A."/>
    <x v="3"/>
    <n v="35000"/>
    <n v="3"/>
    <n v="0.15"/>
    <n v="89250"/>
    <n v="1726.98"/>
    <x v="0"/>
  </r>
  <r>
    <d v="2025-08-21T00:00:00"/>
    <x v="3"/>
    <x v="4"/>
    <s v="Bayo A."/>
    <x v="3"/>
    <n v="35000"/>
    <n v="3"/>
    <n v="0.1"/>
    <n v="94500"/>
    <n v="1635.86"/>
    <x v="1"/>
  </r>
  <r>
    <d v="2025-08-24T00:00:00"/>
    <x v="2"/>
    <x v="6"/>
    <s v="Bayo A."/>
    <x v="4"/>
    <n v="5000"/>
    <n v="2"/>
    <n v="0.15"/>
    <n v="8500"/>
    <n v="0"/>
    <x v="0"/>
  </r>
  <r>
    <d v="2025-08-28T00:00:00"/>
    <x v="3"/>
    <x v="4"/>
    <s v="Tunde K."/>
    <x v="4"/>
    <n v="5000"/>
    <n v="3"/>
    <n v="0"/>
    <n v="15000"/>
    <n v="2606.4699999999998"/>
    <x v="1"/>
  </r>
  <r>
    <d v="2025-08-28T00:00:00"/>
    <x v="1"/>
    <x v="1"/>
    <s v="Bayo A."/>
    <x v="3"/>
    <n v="35000"/>
    <n v="1"/>
    <n v="0.2"/>
    <n v="28000"/>
    <n v="1888.29"/>
    <x v="0"/>
  </r>
  <r>
    <d v="2025-08-28T00:00:00"/>
    <x v="2"/>
    <x v="4"/>
    <s v="Bayo A."/>
    <x v="4"/>
    <n v="5000"/>
    <n v="1"/>
    <n v="0.15"/>
    <n v="4250"/>
    <n v="1709.19"/>
    <x v="0"/>
  </r>
  <r>
    <d v="2025-08-29T00:00:00"/>
    <x v="1"/>
    <x v="5"/>
    <s v="Fatima S."/>
    <x v="3"/>
    <n v="35000"/>
    <n v="3"/>
    <n v="0"/>
    <n v="105000"/>
    <n v="0"/>
    <x v="1"/>
  </r>
  <r>
    <d v="2025-08-29T00:00:00"/>
    <x v="4"/>
    <x v="0"/>
    <s v="Bayo A."/>
    <x v="1"/>
    <n v="15000"/>
    <n v="1"/>
    <n v="0"/>
    <n v="15000"/>
    <n v="1606.44"/>
    <x v="0"/>
  </r>
  <r>
    <d v="2025-08-29T00:00:00"/>
    <x v="3"/>
    <x v="5"/>
    <s v="Emeka N."/>
    <x v="4"/>
    <n v="5000"/>
    <n v="2"/>
    <n v="0"/>
    <n v="10000"/>
    <n v="0"/>
    <x v="0"/>
  </r>
  <r>
    <d v="2025-08-30T00:00:00"/>
    <x v="3"/>
    <x v="3"/>
    <s v="Fatima S."/>
    <x v="1"/>
    <n v="15000"/>
    <n v="3"/>
    <n v="0"/>
    <n v="45000"/>
    <n v="0"/>
    <x v="1"/>
  </r>
  <r>
    <d v="2025-08-31T00:00:00"/>
    <x v="4"/>
    <x v="0"/>
    <s v="Bayo A."/>
    <x v="3"/>
    <n v="35000"/>
    <n v="3"/>
    <n v="0.15"/>
    <n v="89250"/>
    <n v="1412.26"/>
    <x v="1"/>
  </r>
  <r>
    <d v="2025-09-01T00:00:00"/>
    <x v="1"/>
    <x v="1"/>
    <s v="Bayo A."/>
    <x v="1"/>
    <n v="15000"/>
    <n v="3"/>
    <n v="0"/>
    <n v="45000"/>
    <n v="559.77"/>
    <x v="0"/>
  </r>
  <r>
    <d v="2025-09-02T00:00:00"/>
    <x v="3"/>
    <x v="3"/>
    <s v="Tunde K."/>
    <x v="2"/>
    <n v="8000"/>
    <n v="1"/>
    <n v="0"/>
    <n v="8000"/>
    <n v="0"/>
    <x v="0"/>
  </r>
  <r>
    <d v="2025-09-02T00:00:00"/>
    <x v="0"/>
    <x v="5"/>
    <s v="Bayo A."/>
    <x v="1"/>
    <n v="15000"/>
    <n v="2"/>
    <n v="0.05"/>
    <n v="28500"/>
    <n v="0"/>
    <x v="1"/>
  </r>
  <r>
    <d v="2025-09-03T00:00:00"/>
    <x v="3"/>
    <x v="1"/>
    <s v="Nkechi U."/>
    <x v="1"/>
    <n v="15000"/>
    <n v="1"/>
    <n v="0.15"/>
    <n v="12750"/>
    <n v="1009.23"/>
    <x v="0"/>
  </r>
  <r>
    <d v="2025-09-06T00:00:00"/>
    <x v="2"/>
    <x v="5"/>
    <s v="Tunde K."/>
    <x v="1"/>
    <n v="15000"/>
    <n v="1"/>
    <n v="0.1"/>
    <n v="13500"/>
    <n v="0"/>
    <x v="0"/>
  </r>
  <r>
    <d v="2025-09-06T00:00:00"/>
    <x v="1"/>
    <x v="2"/>
    <s v="Bayo A."/>
    <x v="1"/>
    <n v="15000"/>
    <n v="2"/>
    <n v="0.15"/>
    <n v="25500"/>
    <n v="1200.1400000000001"/>
    <x v="1"/>
  </r>
  <r>
    <d v="2025-09-07T00:00:00"/>
    <x v="3"/>
    <x v="4"/>
    <s v="Chidinma O."/>
    <x v="1"/>
    <n v="15000"/>
    <n v="3"/>
    <n v="0.2"/>
    <n v="36000"/>
    <n v="2581.38"/>
    <x v="1"/>
  </r>
  <r>
    <d v="2025-09-08T00:00:00"/>
    <x v="3"/>
    <x v="4"/>
    <s v="N/A - Self-Serve."/>
    <x v="4"/>
    <n v="5000"/>
    <n v="1"/>
    <n v="0.1"/>
    <n v="4500"/>
    <n v="1746.4"/>
    <x v="0"/>
  </r>
  <r>
    <d v="2025-09-10T00:00:00"/>
    <x v="1"/>
    <x v="5"/>
    <s v="Bayo A."/>
    <x v="4"/>
    <n v="5000"/>
    <n v="1"/>
    <n v="0"/>
    <n v="5000"/>
    <n v="0"/>
    <x v="1"/>
  </r>
  <r>
    <d v="2025-09-13T00:00:00"/>
    <x v="4"/>
    <x v="6"/>
    <s v="Bayo A."/>
    <x v="3"/>
    <n v="35000"/>
    <n v="1"/>
    <n v="0"/>
    <n v="35000"/>
    <n v="0"/>
    <x v="1"/>
  </r>
  <r>
    <d v="2025-09-14T00:00:00"/>
    <x v="3"/>
    <x v="0"/>
    <s v="Nkechi U."/>
    <x v="1"/>
    <n v="15000"/>
    <n v="1"/>
    <n v="0"/>
    <n v="15000"/>
    <n v="2801.4"/>
    <x v="1"/>
  </r>
  <r>
    <d v="2025-09-15T00:00:00"/>
    <x v="1"/>
    <x v="4"/>
    <s v="Emeka N."/>
    <x v="0"/>
    <n v="65000"/>
    <n v="1"/>
    <n v="0"/>
    <n v="65000"/>
    <n v="2980.95"/>
    <x v="1"/>
  </r>
  <r>
    <d v="2025-09-17T00:00:00"/>
    <x v="3"/>
    <x v="5"/>
    <s v="Nkechi U."/>
    <x v="1"/>
    <n v="15000"/>
    <n v="2"/>
    <n v="0.05"/>
    <n v="28500"/>
    <n v="0"/>
    <x v="0"/>
  </r>
  <r>
    <d v="2025-09-18T00:00:00"/>
    <x v="0"/>
    <x v="5"/>
    <s v="Bayo A."/>
    <x v="3"/>
    <n v="35000"/>
    <n v="2"/>
    <n v="0.15"/>
    <n v="59500"/>
    <n v="0"/>
    <x v="0"/>
  </r>
  <r>
    <d v="2025-09-20T00:00:00"/>
    <x v="3"/>
    <x v="1"/>
    <s v="Nkechi U."/>
    <x v="3"/>
    <n v="35000"/>
    <n v="3"/>
    <n v="0"/>
    <n v="105000"/>
    <n v="3420.88"/>
    <x v="1"/>
  </r>
  <r>
    <d v="2025-09-22T00:00:00"/>
    <x v="0"/>
    <x v="0"/>
    <s v="Chidinma O."/>
    <x v="0"/>
    <n v="65000"/>
    <n v="1"/>
    <n v="0.1"/>
    <n v="58500"/>
    <n v="3391.55"/>
    <x v="0"/>
  </r>
  <r>
    <d v="2025-09-22T00:00:00"/>
    <x v="4"/>
    <x v="3"/>
    <s v="Bayo A."/>
    <x v="0"/>
    <n v="65000"/>
    <n v="1"/>
    <n v="0.05"/>
    <n v="61750"/>
    <n v="0"/>
    <x v="1"/>
  </r>
  <r>
    <d v="2025-09-24T00:00:00"/>
    <x v="4"/>
    <x v="0"/>
    <s v="Nkechi U."/>
    <x v="1"/>
    <n v="15000"/>
    <n v="1"/>
    <n v="0"/>
    <n v="15000"/>
    <n v="949.96"/>
    <x v="1"/>
  </r>
  <r>
    <d v="2025-09-24T00:00:00"/>
    <x v="2"/>
    <x v="1"/>
    <s v="Nkechi U."/>
    <x v="4"/>
    <n v="5000"/>
    <n v="3"/>
    <n v="0.05"/>
    <n v="14250"/>
    <n v="3104.39"/>
    <x v="0"/>
  </r>
  <r>
    <d v="2025-09-24T00:00:00"/>
    <x v="0"/>
    <x v="4"/>
    <s v="Fatima S."/>
    <x v="2"/>
    <n v="8000"/>
    <n v="1"/>
    <n v="0"/>
    <n v="8000"/>
    <n v="966.31"/>
    <x v="0"/>
  </r>
  <r>
    <d v="2025-09-25T00:00:00"/>
    <x v="1"/>
    <x v="0"/>
    <s v="Emeka N."/>
    <x v="4"/>
    <n v="5000"/>
    <n v="1"/>
    <n v="0.05"/>
    <n v="4750"/>
    <n v="2358.2800000000002"/>
    <x v="0"/>
  </r>
  <r>
    <d v="2025-09-26T00:00:00"/>
    <x v="2"/>
    <x v="2"/>
    <s v="Emeka N."/>
    <x v="2"/>
    <n v="8000"/>
    <n v="3"/>
    <n v="0.15"/>
    <n v="20400"/>
    <n v="1086.45"/>
    <x v="0"/>
  </r>
  <r>
    <d v="2025-09-29T00:00:00"/>
    <x v="3"/>
    <x v="4"/>
    <s v="Bayo A."/>
    <x v="4"/>
    <n v="5000"/>
    <n v="2"/>
    <n v="0"/>
    <n v="10000"/>
    <n v="3289.25"/>
    <x v="1"/>
  </r>
  <r>
    <d v="2025-09-29T00:00:00"/>
    <x v="3"/>
    <x v="2"/>
    <s v="Nkechi U."/>
    <x v="3"/>
    <n v="35000"/>
    <n v="1"/>
    <n v="0"/>
    <n v="35000"/>
    <n v="1972.79"/>
    <x v="0"/>
  </r>
  <r>
    <d v="2025-09-30T00:00:00"/>
    <x v="4"/>
    <x v="2"/>
    <s v="Fatima S."/>
    <x v="0"/>
    <n v="65000"/>
    <n v="2"/>
    <n v="0.05"/>
    <n v="123500"/>
    <n v="1707.42"/>
    <x v="0"/>
  </r>
  <r>
    <d v="2025-09-30T00:00:00"/>
    <x v="3"/>
    <x v="1"/>
    <s v="Nkechi U."/>
    <x v="3"/>
    <n v="35000"/>
    <n v="2"/>
    <n v="0.2"/>
    <n v="56000"/>
    <n v="204.51"/>
    <x v="1"/>
  </r>
  <r>
    <d v="2025-10-02T00:00:00"/>
    <x v="1"/>
    <x v="1"/>
    <s v="Emeka N."/>
    <x v="1"/>
    <n v="15000"/>
    <n v="3"/>
    <n v="0.1"/>
    <n v="40500"/>
    <n v="249.92"/>
    <x v="0"/>
  </r>
  <r>
    <d v="2025-10-09T00:00:00"/>
    <x v="1"/>
    <x v="2"/>
    <s v="Bayo A."/>
    <x v="1"/>
    <n v="15000"/>
    <n v="1"/>
    <n v="0.2"/>
    <n v="12000"/>
    <n v="1615.48"/>
    <x v="0"/>
  </r>
  <r>
    <d v="2025-10-12T00:00:00"/>
    <x v="0"/>
    <x v="4"/>
    <s v="Fatima S."/>
    <x v="0"/>
    <n v="65000"/>
    <n v="2"/>
    <n v="0"/>
    <n v="130000"/>
    <n v="2342.65"/>
    <x v="0"/>
  </r>
  <r>
    <d v="2025-10-16T00:00:00"/>
    <x v="3"/>
    <x v="5"/>
    <s v="Bayo A."/>
    <x v="2"/>
    <n v="8000"/>
    <n v="2"/>
    <n v="0"/>
    <n v="16000"/>
    <n v="0"/>
    <x v="0"/>
  </r>
  <r>
    <d v="2025-10-17T00:00:00"/>
    <x v="5"/>
    <x v="1"/>
    <s v="Bayo A."/>
    <x v="4"/>
    <n v="5000"/>
    <n v="1"/>
    <n v="0.05"/>
    <n v="4750"/>
    <n v="2021.9"/>
    <x v="0"/>
  </r>
  <r>
    <d v="2025-10-17T00:00:00"/>
    <x v="3"/>
    <x v="4"/>
    <s v="Bayo A."/>
    <x v="4"/>
    <n v="5000"/>
    <n v="1"/>
    <n v="0.2"/>
    <n v="4000"/>
    <n v="2035.4"/>
    <x v="0"/>
  </r>
  <r>
    <d v="2025-10-18T00:00:00"/>
    <x v="2"/>
    <x v="3"/>
    <s v="Bayo A."/>
    <x v="0"/>
    <n v="65000"/>
    <n v="1"/>
    <n v="0.1"/>
    <n v="58500"/>
    <n v="0"/>
    <x v="0"/>
  </r>
  <r>
    <d v="2025-10-23T00:00:00"/>
    <x v="3"/>
    <x v="4"/>
    <s v="Bayo A."/>
    <x v="1"/>
    <n v="15000"/>
    <n v="2"/>
    <n v="0.2"/>
    <n v="24000"/>
    <n v="1521.32"/>
    <x v="0"/>
  </r>
  <r>
    <d v="2025-10-26T00:00:00"/>
    <x v="0"/>
    <x v="0"/>
    <s v="Tunde K."/>
    <x v="3"/>
    <n v="35000"/>
    <n v="2"/>
    <n v="0.15"/>
    <n v="59500"/>
    <n v="2507.66"/>
    <x v="0"/>
  </r>
  <r>
    <d v="2025-10-28T00:00:00"/>
    <x v="3"/>
    <x v="3"/>
    <s v="Fatima S."/>
    <x v="0"/>
    <n v="65000"/>
    <n v="2"/>
    <n v="0"/>
    <n v="130000"/>
    <n v="0"/>
    <x v="1"/>
  </r>
  <r>
    <d v="2025-10-31T00:00:00"/>
    <x v="3"/>
    <x v="4"/>
    <s v="Nkechi U."/>
    <x v="0"/>
    <n v="65000"/>
    <n v="1"/>
    <n v="0"/>
    <n v="65000"/>
    <n v="406.69"/>
    <x v="1"/>
  </r>
  <r>
    <d v="2025-11-01T00:00:00"/>
    <x v="2"/>
    <x v="0"/>
    <s v="Chidinma O."/>
    <x v="3"/>
    <n v="35000"/>
    <n v="3"/>
    <n v="0.05"/>
    <n v="99750"/>
    <n v="2230.35"/>
    <x v="0"/>
  </r>
  <r>
    <d v="2025-11-02T00:00:00"/>
    <x v="2"/>
    <x v="0"/>
    <s v="Emeka N."/>
    <x v="4"/>
    <n v="5000"/>
    <n v="1"/>
    <n v="0"/>
    <n v="5000"/>
    <n v="1175.81"/>
    <x v="0"/>
  </r>
  <r>
    <d v="2025-11-02T00:00:00"/>
    <x v="4"/>
    <x v="4"/>
    <s v="Tunde K."/>
    <x v="2"/>
    <n v="8000"/>
    <n v="1"/>
    <n v="0.1"/>
    <n v="7200"/>
    <n v="2058.81"/>
    <x v="1"/>
  </r>
  <r>
    <d v="2025-11-03T00:00:00"/>
    <x v="3"/>
    <x v="6"/>
    <s v="Nkechi U."/>
    <x v="3"/>
    <n v="35000"/>
    <n v="3"/>
    <n v="0.05"/>
    <n v="99750"/>
    <n v="0"/>
    <x v="0"/>
  </r>
  <r>
    <d v="2025-11-04T00:00:00"/>
    <x v="4"/>
    <x v="6"/>
    <s v="Bayo A."/>
    <x v="4"/>
    <n v="5000"/>
    <n v="2"/>
    <n v="0"/>
    <n v="10000"/>
    <n v="0"/>
    <x v="1"/>
  </r>
  <r>
    <d v="2025-11-07T00:00:00"/>
    <x v="0"/>
    <x v="1"/>
    <s v="Tunde K."/>
    <x v="1"/>
    <n v="15000"/>
    <n v="1"/>
    <n v="0.1"/>
    <n v="13500"/>
    <n v="1753.99"/>
    <x v="1"/>
  </r>
  <r>
    <d v="2025-11-08T00:00:00"/>
    <x v="3"/>
    <x v="3"/>
    <s v="Bayo A."/>
    <x v="3"/>
    <n v="35000"/>
    <n v="1"/>
    <n v="0.05"/>
    <n v="33250"/>
    <n v="0"/>
    <x v="0"/>
  </r>
  <r>
    <d v="2025-11-08T00:00:00"/>
    <x v="3"/>
    <x v="1"/>
    <s v="Tunde K."/>
    <x v="0"/>
    <n v="65000"/>
    <n v="1"/>
    <n v="0.2"/>
    <n v="52000"/>
    <n v="2469.5300000000002"/>
    <x v="0"/>
  </r>
  <r>
    <d v="2025-11-10T00:00:00"/>
    <x v="3"/>
    <x v="5"/>
    <s v="Nkechi U."/>
    <x v="1"/>
    <n v="15000"/>
    <n v="1"/>
    <n v="0"/>
    <n v="15000"/>
    <n v="0"/>
    <x v="0"/>
  </r>
  <r>
    <d v="2025-11-11T00:00:00"/>
    <x v="1"/>
    <x v="6"/>
    <s v="Fatima S."/>
    <x v="3"/>
    <n v="35000"/>
    <n v="2"/>
    <n v="0"/>
    <n v="70000"/>
    <n v="0"/>
    <x v="0"/>
  </r>
  <r>
    <d v="2025-11-11T00:00:00"/>
    <x v="3"/>
    <x v="4"/>
    <s v="Emeka N."/>
    <x v="1"/>
    <n v="15000"/>
    <n v="2"/>
    <n v="0.05"/>
    <n v="28500"/>
    <n v="1880.9"/>
    <x v="0"/>
  </r>
  <r>
    <d v="2025-11-12T00:00:00"/>
    <x v="1"/>
    <x v="4"/>
    <s v="Bayo A."/>
    <x v="4"/>
    <n v="5000"/>
    <n v="1"/>
    <n v="0"/>
    <n v="5000"/>
    <n v="3210.99"/>
    <x v="0"/>
  </r>
  <r>
    <d v="2025-11-13T00:00:00"/>
    <x v="2"/>
    <x v="1"/>
    <s v="Emeka N."/>
    <x v="0"/>
    <n v="65000"/>
    <n v="1"/>
    <n v="0.1"/>
    <n v="58500"/>
    <n v="2289.23"/>
    <x v="1"/>
  </r>
  <r>
    <d v="2025-11-13T00:00:00"/>
    <x v="0"/>
    <x v="2"/>
    <s v="Bayo A."/>
    <x v="3"/>
    <n v="35000"/>
    <n v="1"/>
    <n v="0.15"/>
    <n v="29750"/>
    <n v="664.4"/>
    <x v="1"/>
  </r>
  <r>
    <d v="2025-11-14T00:00:00"/>
    <x v="3"/>
    <x v="6"/>
    <s v="Tunde K."/>
    <x v="2"/>
    <n v="8000"/>
    <n v="2"/>
    <n v="0.15"/>
    <n v="13600"/>
    <n v="0"/>
    <x v="1"/>
  </r>
  <r>
    <d v="2025-11-15T00:00:00"/>
    <x v="3"/>
    <x v="1"/>
    <s v="Fatima S."/>
    <x v="3"/>
    <n v="35000"/>
    <n v="2"/>
    <n v="0.15"/>
    <n v="59500"/>
    <n v="3450.58"/>
    <x v="0"/>
  </r>
  <r>
    <d v="2025-11-16T00:00:00"/>
    <x v="3"/>
    <x v="0"/>
    <s v="Nkechi U."/>
    <x v="4"/>
    <n v="5000"/>
    <n v="2"/>
    <n v="0.1"/>
    <n v="9000"/>
    <n v="1905.97"/>
    <x v="0"/>
  </r>
  <r>
    <d v="2025-11-17T00:00:00"/>
    <x v="2"/>
    <x v="1"/>
    <s v="Tunde K."/>
    <x v="4"/>
    <n v="5000"/>
    <n v="3"/>
    <n v="0"/>
    <n v="15000"/>
    <n v="2496.64"/>
    <x v="1"/>
  </r>
  <r>
    <d v="2025-11-18T00:00:00"/>
    <x v="3"/>
    <x v="3"/>
    <s v="Nkechi U."/>
    <x v="2"/>
    <n v="8000"/>
    <n v="2"/>
    <n v="0"/>
    <n v="16000"/>
    <n v="0"/>
    <x v="1"/>
  </r>
  <r>
    <d v="2025-11-19T00:00:00"/>
    <x v="3"/>
    <x v="0"/>
    <s v="Tunde K."/>
    <x v="1"/>
    <n v="15000"/>
    <n v="2"/>
    <n v="0.15"/>
    <n v="25500"/>
    <n v="442.56"/>
    <x v="1"/>
  </r>
  <r>
    <d v="2025-11-19T00:00:00"/>
    <x v="4"/>
    <x v="3"/>
    <s v="Emeka N."/>
    <x v="2"/>
    <n v="8000"/>
    <n v="1"/>
    <n v="0.15"/>
    <n v="6800"/>
    <n v="0"/>
    <x v="1"/>
  </r>
  <r>
    <d v="2025-11-20T00:00:00"/>
    <x v="3"/>
    <x v="0"/>
    <s v="Emeka N."/>
    <x v="4"/>
    <n v="5000"/>
    <n v="1"/>
    <n v="0.15"/>
    <n v="4250"/>
    <n v="2522.42"/>
    <x v="0"/>
  </r>
  <r>
    <d v="2025-11-20T00:00:00"/>
    <x v="3"/>
    <x v="3"/>
    <s v="Chidinma O."/>
    <x v="2"/>
    <n v="8000"/>
    <n v="1"/>
    <n v="0"/>
    <n v="8000"/>
    <n v="0"/>
    <x v="1"/>
  </r>
  <r>
    <d v="2025-11-21T00:00:00"/>
    <x v="2"/>
    <x v="8"/>
    <s v="Chidinma O."/>
    <x v="0"/>
    <n v="65000"/>
    <n v="1"/>
    <n v="0.1"/>
    <n v="58500"/>
    <n v="0"/>
    <x v="1"/>
  </r>
  <r>
    <d v="2025-11-22T00:00:00"/>
    <x v="3"/>
    <x v="4"/>
    <s v="Fatima S."/>
    <x v="2"/>
    <n v="8000"/>
    <n v="2"/>
    <n v="0"/>
    <n v="16000"/>
    <n v="1292.3499999999999"/>
    <x v="0"/>
  </r>
  <r>
    <d v="2025-11-23T00:00:00"/>
    <x v="0"/>
    <x v="2"/>
    <s v="Tunde K."/>
    <x v="3"/>
    <n v="35000"/>
    <n v="1"/>
    <n v="0"/>
    <n v="35000"/>
    <n v="3320.49"/>
    <x v="1"/>
  </r>
  <r>
    <d v="2025-11-25T00:00:00"/>
    <x v="3"/>
    <x v="1"/>
    <s v="N/A - Self-Serve."/>
    <x v="0"/>
    <n v="65000"/>
    <n v="3"/>
    <n v="0.1"/>
    <n v="175500"/>
    <n v="2615.62"/>
    <x v="0"/>
  </r>
  <r>
    <d v="2025-11-26T00:00:00"/>
    <x v="4"/>
    <x v="6"/>
    <s v="Bayo A."/>
    <x v="2"/>
    <n v="8000"/>
    <n v="1"/>
    <n v="0"/>
    <n v="8000"/>
    <n v="0"/>
    <x v="1"/>
  </r>
  <r>
    <d v="2025-11-26T00:00:00"/>
    <x v="1"/>
    <x v="3"/>
    <s v="Nkechi U."/>
    <x v="0"/>
    <n v="65000"/>
    <n v="1"/>
    <n v="0"/>
    <n v="65000"/>
    <n v="0"/>
    <x v="1"/>
  </r>
  <r>
    <d v="2025-11-27T00:00:00"/>
    <x v="3"/>
    <x v="4"/>
    <s v="Chidinma O."/>
    <x v="4"/>
    <n v="5000"/>
    <n v="1"/>
    <n v="0"/>
    <n v="5000"/>
    <n v="1374.38"/>
    <x v="0"/>
  </r>
  <r>
    <d v="2025-11-29T00:00:00"/>
    <x v="3"/>
    <x v="4"/>
    <s v="Fatima S."/>
    <x v="1"/>
    <n v="15000"/>
    <n v="3"/>
    <n v="0.2"/>
    <n v="36000"/>
    <n v="2207.11"/>
    <x v="1"/>
  </r>
  <r>
    <d v="2025-11-29T00:00:00"/>
    <x v="1"/>
    <x v="3"/>
    <s v="Bayo A."/>
    <x v="2"/>
    <n v="8000"/>
    <n v="1"/>
    <n v="0.1"/>
    <n v="7200"/>
    <n v="0"/>
    <x v="1"/>
  </r>
  <r>
    <d v="2025-12-01T00:00:00"/>
    <x v="1"/>
    <x v="5"/>
    <s v="Bayo A."/>
    <x v="1"/>
    <n v="15000"/>
    <n v="3"/>
    <n v="0.2"/>
    <n v="36000"/>
    <n v="0"/>
    <x v="1"/>
  </r>
  <r>
    <d v="2025-12-03T00:00:00"/>
    <x v="4"/>
    <x v="6"/>
    <s v="Emeka N."/>
    <x v="4"/>
    <n v="5000"/>
    <n v="3"/>
    <n v="0"/>
    <n v="15000"/>
    <n v="0"/>
    <x v="1"/>
  </r>
  <r>
    <d v="2025-12-05T00:00:00"/>
    <x v="0"/>
    <x v="2"/>
    <s v="Bayo A."/>
    <x v="2"/>
    <n v="8000"/>
    <n v="2"/>
    <n v="0.05"/>
    <n v="15200"/>
    <n v="2966.62"/>
    <x v="0"/>
  </r>
  <r>
    <d v="2025-12-10T00:00:00"/>
    <x v="0"/>
    <x v="4"/>
    <s v="Chidinma O."/>
    <x v="4"/>
    <n v="5000"/>
    <n v="3"/>
    <n v="0"/>
    <n v="15000"/>
    <n v="779.82"/>
    <x v="1"/>
  </r>
  <r>
    <d v="2025-12-11T00:00:00"/>
    <x v="3"/>
    <x v="6"/>
    <s v="Chidinma O."/>
    <x v="0"/>
    <n v="65000"/>
    <n v="1"/>
    <n v="0"/>
    <n v="65000"/>
    <n v="0"/>
    <x v="0"/>
  </r>
  <r>
    <d v="2025-12-17T00:00:00"/>
    <x v="1"/>
    <x v="4"/>
    <s v="Fatima S."/>
    <x v="3"/>
    <n v="35000"/>
    <n v="2"/>
    <n v="0.1"/>
    <n v="63000"/>
    <n v="2514.5300000000002"/>
    <x v="0"/>
  </r>
  <r>
    <d v="2025-12-18T00:00:00"/>
    <x v="2"/>
    <x v="5"/>
    <s v="Bayo A."/>
    <x v="3"/>
    <n v="35000"/>
    <n v="1"/>
    <n v="0.2"/>
    <n v="28000"/>
    <n v="0"/>
    <x v="1"/>
  </r>
  <r>
    <d v="2025-12-19T00:00:00"/>
    <x v="1"/>
    <x v="3"/>
    <s v="Fatima S."/>
    <x v="1"/>
    <n v="15000"/>
    <n v="1"/>
    <n v="0"/>
    <n v="15000"/>
    <n v="0"/>
    <x v="1"/>
  </r>
  <r>
    <d v="2025-12-22T00:00:00"/>
    <x v="0"/>
    <x v="6"/>
    <s v="Tunde K."/>
    <x v="3"/>
    <n v="35000"/>
    <n v="1"/>
    <n v="0"/>
    <n v="35000"/>
    <n v="0"/>
    <x v="1"/>
  </r>
  <r>
    <d v="2025-12-22T00:00:00"/>
    <x v="4"/>
    <x v="4"/>
    <s v="Chidinma O."/>
    <x v="1"/>
    <n v="15000"/>
    <n v="1"/>
    <n v="0"/>
    <n v="15000"/>
    <n v="2132.6"/>
    <x v="0"/>
  </r>
  <r>
    <d v="2025-12-22T00:00:00"/>
    <x v="1"/>
    <x v="4"/>
    <s v="Emeka N."/>
    <x v="0"/>
    <n v="65000"/>
    <n v="2"/>
    <n v="0"/>
    <n v="130000"/>
    <n v="919.88"/>
    <x v="1"/>
  </r>
  <r>
    <d v="2025-12-23T00:00:00"/>
    <x v="4"/>
    <x v="2"/>
    <s v="Tunde K."/>
    <x v="0"/>
    <n v="65000"/>
    <n v="1"/>
    <n v="0.05"/>
    <n v="61750"/>
    <n v="395.08"/>
    <x v="1"/>
  </r>
  <r>
    <d v="2025-12-25T00:00:00"/>
    <x v="3"/>
    <x v="4"/>
    <s v="Chidinma O."/>
    <x v="2"/>
    <n v="8000"/>
    <n v="2"/>
    <n v="0.15"/>
    <n v="13600"/>
    <n v="1694.21"/>
    <x v="0"/>
  </r>
  <r>
    <d v="2025-12-25T00:00:00"/>
    <x v="0"/>
    <x v="4"/>
    <s v="Bayo A."/>
    <x v="0"/>
    <n v="65000"/>
    <n v="3"/>
    <n v="0"/>
    <n v="195000"/>
    <n v="1810.54"/>
    <x v="1"/>
  </r>
  <r>
    <d v="2025-12-28T00:00:00"/>
    <x v="0"/>
    <x v="2"/>
    <s v="Chidinma O."/>
    <x v="2"/>
    <n v="8000"/>
    <n v="2"/>
    <n v="0.2"/>
    <n v="12800"/>
    <n v="406.74"/>
    <x v="0"/>
  </r>
  <r>
    <d v="2025-12-28T00:00:00"/>
    <x v="3"/>
    <x v="1"/>
    <s v="Emeka N."/>
    <x v="1"/>
    <n v="15000"/>
    <n v="1"/>
    <n v="0.05"/>
    <n v="14250"/>
    <n v="961.77"/>
    <x v="0"/>
  </r>
  <r>
    <d v="2026-01-01T00:00:00"/>
    <x v="1"/>
    <x v="1"/>
    <s v="Tunde K."/>
    <x v="0"/>
    <n v="65000"/>
    <n v="2"/>
    <n v="0.15"/>
    <n v="110500"/>
    <n v="2972.27"/>
    <x v="1"/>
  </r>
  <r>
    <d v="2026-01-03T00:00:00"/>
    <x v="3"/>
    <x v="1"/>
    <s v="Chidinma O."/>
    <x v="0"/>
    <n v="65000"/>
    <n v="2"/>
    <n v="0"/>
    <n v="130000"/>
    <n v="1226.82"/>
    <x v="0"/>
  </r>
  <r>
    <d v="2026-01-04T00:00:00"/>
    <x v="4"/>
    <x v="1"/>
    <s v="N/A - Self-Serve."/>
    <x v="4"/>
    <n v="5000"/>
    <n v="1"/>
    <n v="0.1"/>
    <n v="4500"/>
    <n v="1868.58"/>
    <x v="1"/>
  </r>
  <r>
    <d v="2026-01-07T00:00:00"/>
    <x v="3"/>
    <x v="1"/>
    <s v="Bayo A."/>
    <x v="3"/>
    <n v="35000"/>
    <n v="2"/>
    <n v="0.1"/>
    <n v="63000"/>
    <n v="1699.36"/>
    <x v="1"/>
  </r>
  <r>
    <d v="2026-01-08T00:00:00"/>
    <x v="4"/>
    <x v="1"/>
    <s v="Tunde K."/>
    <x v="0"/>
    <n v="65000"/>
    <n v="1"/>
    <n v="0.15"/>
    <n v="55250"/>
    <n v="3466.63"/>
    <x v="0"/>
  </r>
  <r>
    <d v="2026-01-08T00:00:00"/>
    <x v="3"/>
    <x v="6"/>
    <s v="Nkechi U."/>
    <x v="4"/>
    <n v="5000"/>
    <n v="3"/>
    <n v="0"/>
    <n v="15000"/>
    <n v="0"/>
    <x v="0"/>
  </r>
  <r>
    <d v="2026-01-09T00:00:00"/>
    <x v="3"/>
    <x v="6"/>
    <s v="Chidinma O."/>
    <x v="0"/>
    <n v="65000"/>
    <n v="1"/>
    <n v="0.15"/>
    <n v="55250"/>
    <n v="0"/>
    <x v="0"/>
  </r>
  <r>
    <d v="2026-01-09T00:00:00"/>
    <x v="0"/>
    <x v="8"/>
    <s v="Bayo A."/>
    <x v="0"/>
    <n v="65000"/>
    <n v="1"/>
    <n v="0"/>
    <n v="65000"/>
    <n v="0"/>
    <x v="1"/>
  </r>
  <r>
    <d v="2026-01-11T00:00:00"/>
    <x v="0"/>
    <x v="1"/>
    <s v="Tunde K."/>
    <x v="3"/>
    <n v="35000"/>
    <n v="3"/>
    <n v="0"/>
    <n v="105000"/>
    <n v="1272.45"/>
    <x v="1"/>
  </r>
  <r>
    <d v="2026-01-13T00:00:00"/>
    <x v="3"/>
    <x v="6"/>
    <s v="Bayo A."/>
    <x v="3"/>
    <n v="35000"/>
    <n v="1"/>
    <n v="0.2"/>
    <n v="28000"/>
    <n v="0"/>
    <x v="0"/>
  </r>
  <r>
    <d v="2026-01-13T00:00:00"/>
    <x v="1"/>
    <x v="5"/>
    <s v="Nkechi U."/>
    <x v="2"/>
    <n v="8000"/>
    <n v="1"/>
    <n v="0"/>
    <n v="8000"/>
    <n v="0"/>
    <x v="1"/>
  </r>
  <r>
    <d v="2026-01-14T00:00:00"/>
    <x v="1"/>
    <x v="2"/>
    <s v="Bayo A."/>
    <x v="4"/>
    <n v="5000"/>
    <n v="1"/>
    <n v="0"/>
    <n v="5000"/>
    <n v="1625.56"/>
    <x v="0"/>
  </r>
  <r>
    <d v="2026-01-15T00:00:00"/>
    <x v="1"/>
    <x v="6"/>
    <s v="Chidinma O."/>
    <x v="1"/>
    <n v="15000"/>
    <n v="1"/>
    <n v="0"/>
    <n v="15000"/>
    <n v="0"/>
    <x v="0"/>
  </r>
  <r>
    <d v="2026-01-15T00:00:00"/>
    <x v="0"/>
    <x v="5"/>
    <s v="Chidinma O."/>
    <x v="2"/>
    <n v="8000"/>
    <n v="1"/>
    <n v="0"/>
    <n v="8000"/>
    <n v="0"/>
    <x v="0"/>
  </r>
  <r>
    <d v="2026-01-15T00:00:00"/>
    <x v="1"/>
    <x v="6"/>
    <s v="Chidinma O."/>
    <x v="1"/>
    <n v="15000"/>
    <n v="1"/>
    <n v="0.2"/>
    <n v="12000"/>
    <n v="0"/>
    <x v="1"/>
  </r>
  <r>
    <d v="2026-01-16T00:00:00"/>
    <x v="4"/>
    <x v="0"/>
    <s v="Nkechi U."/>
    <x v="3"/>
    <n v="35000"/>
    <n v="2"/>
    <n v="0.05"/>
    <n v="66500"/>
    <n v="3059.53"/>
    <x v="1"/>
  </r>
  <r>
    <d v="2026-01-17T00:00:00"/>
    <x v="3"/>
    <x v="0"/>
    <s v="Fatima S."/>
    <x v="2"/>
    <n v="8000"/>
    <n v="2"/>
    <n v="0"/>
    <n v="16000"/>
    <n v="3155.09"/>
    <x v="1"/>
  </r>
  <r>
    <d v="2026-01-18T00:00:00"/>
    <x v="1"/>
    <x v="1"/>
    <s v="Fatima S."/>
    <x v="0"/>
    <n v="65000"/>
    <n v="2"/>
    <n v="0.2"/>
    <n v="104000"/>
    <n v="938.12"/>
    <x v="1"/>
  </r>
  <r>
    <d v="2026-01-18T00:00:00"/>
    <x v="4"/>
    <x v="2"/>
    <s v="N/A - Self-Serve."/>
    <x v="1"/>
    <n v="15000"/>
    <n v="1"/>
    <n v="0.1"/>
    <n v="13500"/>
    <n v="482.03"/>
    <x v="1"/>
  </r>
  <r>
    <d v="2026-01-21T00:00:00"/>
    <x v="2"/>
    <x v="0"/>
    <s v="Chidinma O."/>
    <x v="0"/>
    <n v="65000"/>
    <n v="2"/>
    <n v="0.1"/>
    <n v="117000"/>
    <n v="1536.36"/>
    <x v="1"/>
  </r>
  <r>
    <d v="2026-01-23T00:00:00"/>
    <x v="2"/>
    <x v="4"/>
    <s v="Emeka N."/>
    <x v="3"/>
    <n v="35000"/>
    <n v="2"/>
    <n v="0"/>
    <n v="70000"/>
    <n v="805.91"/>
    <x v="0"/>
  </r>
  <r>
    <d v="2026-01-24T00:00:00"/>
    <x v="0"/>
    <x v="0"/>
    <s v="Bayo A."/>
    <x v="4"/>
    <n v="5000"/>
    <n v="2"/>
    <n v="0"/>
    <n v="10000"/>
    <n v="2094.88"/>
    <x v="1"/>
  </r>
  <r>
    <d v="2026-01-27T00:00:00"/>
    <x v="1"/>
    <x v="1"/>
    <s v="Bayo A."/>
    <x v="1"/>
    <n v="15000"/>
    <n v="1"/>
    <n v="0.1"/>
    <n v="13500"/>
    <n v="633.75"/>
    <x v="1"/>
  </r>
  <r>
    <d v="2026-01-29T00:00:00"/>
    <x v="3"/>
    <x v="6"/>
    <s v="Bayo A."/>
    <x v="4"/>
    <n v="5000"/>
    <n v="1"/>
    <n v="0"/>
    <n v="5000"/>
    <n v="0"/>
    <x v="0"/>
  </r>
  <r>
    <d v="2026-01-30T00:00:00"/>
    <x v="3"/>
    <x v="3"/>
    <s v="Fatima S."/>
    <x v="3"/>
    <n v="35000"/>
    <n v="3"/>
    <n v="0.1"/>
    <n v="94500"/>
    <n v="0"/>
    <x v="0"/>
  </r>
  <r>
    <d v="2026-01-31T00:00:00"/>
    <x v="2"/>
    <x v="7"/>
    <s v="Chidinma O."/>
    <x v="0"/>
    <n v="65000"/>
    <n v="2"/>
    <n v="0.1"/>
    <n v="117000"/>
    <n v="2598.9"/>
    <x v="0"/>
  </r>
  <r>
    <d v="2026-01-31T00:00:00"/>
    <x v="2"/>
    <x v="4"/>
    <s v="Emeka N."/>
    <x v="1"/>
    <n v="15000"/>
    <n v="1"/>
    <n v="0"/>
    <n v="15000"/>
    <n v="251.18"/>
    <x v="0"/>
  </r>
  <r>
    <d v="2026-01-31T00:00:00"/>
    <x v="4"/>
    <x v="2"/>
    <s v="Chidinma O."/>
    <x v="3"/>
    <n v="35000"/>
    <n v="2"/>
    <n v="0.1"/>
    <n v="63000"/>
    <n v="1617.61"/>
    <x v="1"/>
  </r>
  <r>
    <d v="2026-01-31T00:00:00"/>
    <x v="3"/>
    <x v="4"/>
    <s v="Emeka N."/>
    <x v="1"/>
    <n v="15000"/>
    <n v="3"/>
    <n v="0"/>
    <n v="45000"/>
    <n v="892.07"/>
    <x v="0"/>
  </r>
  <r>
    <d v="2026-02-04T00:00:00"/>
    <x v="3"/>
    <x v="4"/>
    <s v="Bayo A."/>
    <x v="2"/>
    <n v="8000"/>
    <n v="1"/>
    <n v="0.1"/>
    <n v="7200"/>
    <n v="1994.5"/>
    <x v="1"/>
  </r>
  <r>
    <d v="2026-02-06T00:00:00"/>
    <x v="3"/>
    <x v="2"/>
    <s v="Fatima S."/>
    <x v="4"/>
    <n v="5000"/>
    <n v="2"/>
    <n v="0.05"/>
    <n v="9500"/>
    <n v="1916.24"/>
    <x v="1"/>
  </r>
  <r>
    <d v="2026-02-08T00:00:00"/>
    <x v="4"/>
    <x v="2"/>
    <s v="Chidinma O."/>
    <x v="1"/>
    <n v="15000"/>
    <n v="3"/>
    <n v="0.05"/>
    <n v="42750"/>
    <n v="3050.14"/>
    <x v="1"/>
  </r>
  <r>
    <d v="2026-02-10T00:00:00"/>
    <x v="1"/>
    <x v="1"/>
    <s v="Tunde K."/>
    <x v="3"/>
    <n v="35000"/>
    <n v="3"/>
    <n v="0.1"/>
    <n v="94500"/>
    <n v="2830.37"/>
    <x v="0"/>
  </r>
  <r>
    <d v="2026-02-12T00:00:00"/>
    <x v="4"/>
    <x v="3"/>
    <s v="Fatima S."/>
    <x v="0"/>
    <n v="65000"/>
    <n v="1"/>
    <n v="0"/>
    <n v="65000"/>
    <n v="0"/>
    <x v="0"/>
  </r>
  <r>
    <d v="2026-02-12T00:00:00"/>
    <x v="4"/>
    <x v="4"/>
    <s v="Chidinma O."/>
    <x v="3"/>
    <n v="35000"/>
    <n v="3"/>
    <n v="0.05"/>
    <n v="99750"/>
    <n v="1843.89"/>
    <x v="0"/>
  </r>
  <r>
    <d v="2026-02-13T00:00:00"/>
    <x v="0"/>
    <x v="2"/>
    <s v="Bayo A."/>
    <x v="0"/>
    <n v="65000"/>
    <n v="1"/>
    <n v="0.2"/>
    <n v="52000"/>
    <n v="2536.6799999999998"/>
    <x v="1"/>
  </r>
  <r>
    <d v="2026-02-14T00:00:00"/>
    <x v="3"/>
    <x v="5"/>
    <s v="Chidinma O."/>
    <x v="3"/>
    <n v="35000"/>
    <n v="1"/>
    <n v="0.2"/>
    <n v="28000"/>
    <n v="0"/>
    <x v="0"/>
  </r>
  <r>
    <d v="2026-02-14T00:00:00"/>
    <x v="2"/>
    <x v="6"/>
    <s v="Rep Not Recorded"/>
    <x v="3"/>
    <n v="35000"/>
    <n v="1"/>
    <n v="0"/>
    <n v="35000"/>
    <n v="0"/>
    <x v="1"/>
  </r>
  <r>
    <d v="2026-02-14T00:00:00"/>
    <x v="4"/>
    <x v="2"/>
    <s v="Tunde K."/>
    <x v="1"/>
    <n v="15000"/>
    <n v="1"/>
    <n v="0.2"/>
    <n v="12000"/>
    <n v="279.58999999999997"/>
    <x v="1"/>
  </r>
  <r>
    <d v="2026-02-15T00:00:00"/>
    <x v="3"/>
    <x v="6"/>
    <s v="Bayo A."/>
    <x v="2"/>
    <n v="8000"/>
    <n v="2"/>
    <n v="0"/>
    <n v="16000"/>
    <n v="0"/>
    <x v="0"/>
  </r>
  <r>
    <d v="2026-02-16T00:00:00"/>
    <x v="3"/>
    <x v="6"/>
    <s v="Chidinma O."/>
    <x v="0"/>
    <n v="65000"/>
    <n v="2"/>
    <n v="0"/>
    <n v="130000"/>
    <n v="0"/>
    <x v="0"/>
  </r>
  <r>
    <d v="2026-02-17T00:00:00"/>
    <x v="0"/>
    <x v="2"/>
    <s v="Tunde K."/>
    <x v="2"/>
    <n v="8000"/>
    <n v="1"/>
    <n v="0.05"/>
    <n v="7600"/>
    <n v="1557.7"/>
    <x v="0"/>
  </r>
  <r>
    <d v="2026-02-17T00:00:00"/>
    <x v="1"/>
    <x v="1"/>
    <s v="Emeka N."/>
    <x v="4"/>
    <n v="5000"/>
    <n v="1"/>
    <n v="0"/>
    <n v="5000"/>
    <n v="1917.47"/>
    <x v="1"/>
  </r>
  <r>
    <d v="2026-02-19T00:00:00"/>
    <x v="1"/>
    <x v="4"/>
    <s v="Fatima S."/>
    <x v="2"/>
    <n v="8000"/>
    <n v="2"/>
    <n v="0"/>
    <n v="16000"/>
    <n v="1122.4000000000001"/>
    <x v="0"/>
  </r>
  <r>
    <d v="2026-02-19T00:00:00"/>
    <x v="4"/>
    <x v="6"/>
    <s v="Bayo A."/>
    <x v="1"/>
    <n v="15000"/>
    <n v="2"/>
    <n v="0.2"/>
    <n v="24000"/>
    <n v="0"/>
    <x v="1"/>
  </r>
  <r>
    <d v="2026-02-20T00:00:00"/>
    <x v="2"/>
    <x v="4"/>
    <s v="Tunde K."/>
    <x v="3"/>
    <n v="35000"/>
    <n v="1"/>
    <n v="0.2"/>
    <n v="28000"/>
    <n v="1195.58"/>
    <x v="0"/>
  </r>
  <r>
    <d v="2026-02-21T00:00:00"/>
    <x v="1"/>
    <x v="6"/>
    <s v="Emeka N."/>
    <x v="0"/>
    <n v="65000"/>
    <n v="1"/>
    <n v="0.2"/>
    <n v="52000"/>
    <n v="0"/>
    <x v="0"/>
  </r>
  <r>
    <d v="2026-02-22T00:00:00"/>
    <x v="4"/>
    <x v="3"/>
    <s v="Emeka N."/>
    <x v="2"/>
    <n v="8000"/>
    <n v="2"/>
    <n v="0.15"/>
    <n v="13600"/>
    <n v="0"/>
    <x v="0"/>
  </r>
  <r>
    <d v="2026-02-28T00:00:00"/>
    <x v="2"/>
    <x v="4"/>
    <s v="Fatima S."/>
    <x v="3"/>
    <n v="35000"/>
    <n v="1"/>
    <n v="0"/>
    <n v="35000"/>
    <n v="1538.02"/>
    <x v="0"/>
  </r>
  <r>
    <d v="2026-03-01T00:00:00"/>
    <x v="1"/>
    <x v="1"/>
    <s v="Bayo A."/>
    <x v="3"/>
    <n v="35000"/>
    <n v="1"/>
    <n v="0.15"/>
    <n v="29750"/>
    <n v="202.25"/>
    <x v="0"/>
  </r>
  <r>
    <d v="2026-03-02T00:00:00"/>
    <x v="5"/>
    <x v="4"/>
    <s v="Bayo A."/>
    <x v="0"/>
    <n v="65000"/>
    <n v="1"/>
    <n v="0.2"/>
    <n v="52000"/>
    <n v="3103.09"/>
    <x v="1"/>
  </r>
  <r>
    <d v="2026-03-02T00:00:00"/>
    <x v="3"/>
    <x v="5"/>
    <s v="Fatima S."/>
    <x v="3"/>
    <n v="35000"/>
    <n v="1"/>
    <n v="0.2"/>
    <n v="28000"/>
    <n v="0"/>
    <x v="0"/>
  </r>
  <r>
    <d v="2026-03-03T00:00:00"/>
    <x v="1"/>
    <x v="5"/>
    <s v="Chidinma O."/>
    <x v="1"/>
    <n v="15000"/>
    <n v="2"/>
    <n v="0"/>
    <n v="30000"/>
    <n v="0"/>
    <x v="0"/>
  </r>
  <r>
    <d v="2026-03-03T00:00:00"/>
    <x v="1"/>
    <x v="5"/>
    <s v="Nkechi U."/>
    <x v="0"/>
    <n v="65000"/>
    <n v="1"/>
    <n v="0"/>
    <n v="65000"/>
    <n v="0"/>
    <x v="0"/>
  </r>
  <r>
    <d v="2026-03-04T00:00:00"/>
    <x v="5"/>
    <x v="2"/>
    <s v="Fatima S."/>
    <x v="2"/>
    <n v="8000"/>
    <n v="1"/>
    <n v="0.1"/>
    <n v="7200"/>
    <n v="344.49"/>
    <x v="1"/>
  </r>
  <r>
    <d v="2026-03-04T00:00:00"/>
    <x v="5"/>
    <x v="2"/>
    <s v="Chidinma O."/>
    <x v="4"/>
    <n v="5000"/>
    <n v="2"/>
    <n v="0"/>
    <n v="10000"/>
    <n v="1451.28"/>
    <x v="0"/>
  </r>
  <r>
    <d v="2026-03-06T00:00:00"/>
    <x v="0"/>
    <x v="6"/>
    <s v="Nkechi U."/>
    <x v="4"/>
    <n v="5000"/>
    <n v="2"/>
    <n v="0.15"/>
    <n v="8500"/>
    <n v="0"/>
    <x v="0"/>
  </r>
  <r>
    <d v="2026-03-06T00:00:00"/>
    <x v="4"/>
    <x v="5"/>
    <s v="Fatima S."/>
    <x v="0"/>
    <n v="65000"/>
    <n v="1"/>
    <n v="0.05"/>
    <n v="61750"/>
    <n v="0"/>
    <x v="0"/>
  </r>
  <r>
    <d v="2026-03-06T00:00:00"/>
    <x v="0"/>
    <x v="2"/>
    <s v="Chidinma O."/>
    <x v="2"/>
    <n v="8000"/>
    <n v="1"/>
    <n v="0.05"/>
    <n v="7600"/>
    <n v="1900.27"/>
    <x v="0"/>
  </r>
  <r>
    <d v="2026-03-07T00:00:00"/>
    <x v="3"/>
    <x v="3"/>
    <s v="Chidinma O."/>
    <x v="3"/>
    <n v="35000"/>
    <n v="3"/>
    <n v="0"/>
    <n v="105000"/>
    <n v="0"/>
    <x v="1"/>
  </r>
  <r>
    <d v="2026-03-07T00:00:00"/>
    <x v="2"/>
    <x v="0"/>
    <s v="Fatima S."/>
    <x v="2"/>
    <n v="8000"/>
    <n v="2"/>
    <n v="0.1"/>
    <n v="14400"/>
    <n v="1406.4"/>
    <x v="0"/>
  </r>
  <r>
    <d v="2026-03-08T00:00:00"/>
    <x v="1"/>
    <x v="1"/>
    <s v="Chidinma O."/>
    <x v="3"/>
    <n v="35000"/>
    <n v="3"/>
    <n v="0.15"/>
    <n v="89250"/>
    <n v="2070.4499999999998"/>
    <x v="0"/>
  </r>
  <r>
    <d v="2026-03-09T00:00:00"/>
    <x v="0"/>
    <x v="7"/>
    <s v="Tunde K."/>
    <x v="3"/>
    <n v="35000"/>
    <n v="2"/>
    <n v="0.2"/>
    <n v="56000"/>
    <n v="2723.54"/>
    <x v="1"/>
  </r>
  <r>
    <d v="2026-03-09T00:00:00"/>
    <x v="1"/>
    <x v="1"/>
    <s v="Bayo A."/>
    <x v="2"/>
    <n v="8000"/>
    <n v="2"/>
    <n v="0"/>
    <n v="16000"/>
    <n v="1303.92"/>
    <x v="0"/>
  </r>
  <r>
    <d v="2026-03-12T00:00:00"/>
    <x v="4"/>
    <x v="1"/>
    <s v="Nkechi U."/>
    <x v="3"/>
    <n v="35000"/>
    <n v="1"/>
    <n v="0"/>
    <n v="35000"/>
    <n v="3097.84"/>
    <x v="1"/>
  </r>
  <r>
    <d v="2026-03-14T00:00:00"/>
    <x v="2"/>
    <x v="1"/>
    <s v="Tunde K."/>
    <x v="2"/>
    <n v="8000"/>
    <n v="2"/>
    <n v="0.2"/>
    <n v="12800"/>
    <n v="3279.73"/>
    <x v="0"/>
  </r>
  <r>
    <d v="2026-03-14T00:00:00"/>
    <x v="4"/>
    <x v="6"/>
    <s v="Bayo A."/>
    <x v="4"/>
    <n v="5000"/>
    <n v="2"/>
    <n v="0"/>
    <n v="10000"/>
    <n v="0"/>
    <x v="1"/>
  </r>
  <r>
    <d v="2026-03-16T00:00:00"/>
    <x v="2"/>
    <x v="0"/>
    <s v="Bayo A."/>
    <x v="0"/>
    <n v="65000"/>
    <n v="1"/>
    <n v="0"/>
    <n v="65000"/>
    <n v="3292.99"/>
    <x v="1"/>
  </r>
  <r>
    <d v="2026-03-18T00:00:00"/>
    <x v="3"/>
    <x v="3"/>
    <s v="Chidinma O."/>
    <x v="1"/>
    <n v="15000"/>
    <n v="2"/>
    <n v="0.1"/>
    <n v="27000"/>
    <n v="0"/>
    <x v="1"/>
  </r>
  <r>
    <d v="2026-03-20T00:00:00"/>
    <x v="2"/>
    <x v="2"/>
    <s v="Chidinma O."/>
    <x v="2"/>
    <n v="8000"/>
    <n v="3"/>
    <n v="0"/>
    <n v="24000"/>
    <n v="419.62"/>
    <x v="1"/>
  </r>
  <r>
    <d v="2026-03-21T00:00:00"/>
    <x v="0"/>
    <x v="1"/>
    <s v="Emeka N."/>
    <x v="2"/>
    <n v="8000"/>
    <n v="1"/>
    <n v="0"/>
    <n v="8000"/>
    <n v="1584.48"/>
    <x v="0"/>
  </r>
  <r>
    <d v="2026-03-22T00:00:00"/>
    <x v="1"/>
    <x v="2"/>
    <s v="Emeka N."/>
    <x v="2"/>
    <n v="8000"/>
    <n v="3"/>
    <n v="0"/>
    <n v="24000"/>
    <n v="1529.17"/>
    <x v="1"/>
  </r>
  <r>
    <d v="2026-03-24T00:00:00"/>
    <x v="1"/>
    <x v="4"/>
    <s v="Bayo A."/>
    <x v="4"/>
    <n v="5000"/>
    <n v="1"/>
    <n v="0.15"/>
    <n v="4250"/>
    <n v="2956.9"/>
    <x v="0"/>
  </r>
  <r>
    <d v="2026-03-25T00:00:00"/>
    <x v="4"/>
    <x v="1"/>
    <s v="Emeka N."/>
    <x v="4"/>
    <n v="5000"/>
    <n v="2"/>
    <n v="0.1"/>
    <n v="9000"/>
    <n v="1529.97"/>
    <x v="1"/>
  </r>
  <r>
    <d v="2026-03-26T00:00:00"/>
    <x v="0"/>
    <x v="6"/>
    <s v="Nkechi U."/>
    <x v="2"/>
    <n v="8000"/>
    <n v="1"/>
    <n v="0"/>
    <n v="8000"/>
    <n v="0"/>
    <x v="0"/>
  </r>
  <r>
    <d v="2026-03-27T00:00:00"/>
    <x v="1"/>
    <x v="1"/>
    <s v="Nkechi U."/>
    <x v="3"/>
    <n v="35000"/>
    <n v="1"/>
    <n v="0.1"/>
    <n v="31500"/>
    <n v="1761.29"/>
    <x v="0"/>
  </r>
  <r>
    <d v="2026-03-27T00:00:00"/>
    <x v="1"/>
    <x v="1"/>
    <s v="Fatima S."/>
    <x v="2"/>
    <n v="8000"/>
    <n v="1"/>
    <n v="0"/>
    <n v="8000"/>
    <n v="1972.94"/>
    <x v="1"/>
  </r>
  <r>
    <d v="2026-03-29T00:00:00"/>
    <x v="1"/>
    <x v="2"/>
    <s v="Fatima S."/>
    <x v="0"/>
    <n v="65000"/>
    <n v="2"/>
    <n v="0"/>
    <n v="130000"/>
    <n v="2268.29"/>
    <x v="0"/>
  </r>
  <r>
    <d v="2026-03-29T00:00:00"/>
    <x v="1"/>
    <x v="2"/>
    <s v="Fatima S."/>
    <x v="3"/>
    <n v="35000"/>
    <n v="1"/>
    <n v="0.05"/>
    <n v="33250"/>
    <n v="855.07"/>
    <x v="1"/>
  </r>
  <r>
    <d v="2026-04-03T00:00:00"/>
    <x v="0"/>
    <x v="3"/>
    <s v="Chidinma O."/>
    <x v="3"/>
    <n v="35000"/>
    <n v="2"/>
    <n v="0"/>
    <n v="70000"/>
    <n v="0"/>
    <x v="1"/>
  </r>
  <r>
    <d v="2026-04-03T00:00:00"/>
    <x v="3"/>
    <x v="4"/>
    <s v="Nkechi U."/>
    <x v="0"/>
    <n v="65000"/>
    <n v="1"/>
    <n v="0"/>
    <n v="65000"/>
    <n v="921.01"/>
    <x v="1"/>
  </r>
  <r>
    <d v="2026-04-06T00:00:00"/>
    <x v="4"/>
    <x v="6"/>
    <s v="Nkechi U."/>
    <x v="4"/>
    <n v="5000"/>
    <n v="2"/>
    <n v="0.2"/>
    <n v="8000"/>
    <n v="0"/>
    <x v="1"/>
  </r>
  <r>
    <d v="2026-04-07T00:00:00"/>
    <x v="0"/>
    <x v="4"/>
    <s v="Chidinma O."/>
    <x v="0"/>
    <n v="65000"/>
    <n v="1"/>
    <n v="0.2"/>
    <n v="52000"/>
    <n v="1462.41"/>
    <x v="0"/>
  </r>
  <r>
    <d v="2026-04-09T00:00:00"/>
    <x v="3"/>
    <x v="4"/>
    <s v="Emeka N."/>
    <x v="4"/>
    <n v="5000"/>
    <n v="2"/>
    <n v="0.2"/>
    <n v="8000"/>
    <n v="809.38"/>
    <x v="0"/>
  </r>
  <r>
    <d v="2026-04-10T00:00:00"/>
    <x v="1"/>
    <x v="1"/>
    <s v="Chidinma O."/>
    <x v="2"/>
    <n v="8000"/>
    <n v="1"/>
    <n v="0.2"/>
    <n v="6400"/>
    <n v="846.77"/>
    <x v="0"/>
  </r>
  <r>
    <d v="2026-04-10T00:00:00"/>
    <x v="1"/>
    <x v="3"/>
    <s v="Tunde K."/>
    <x v="1"/>
    <n v="15000"/>
    <n v="2"/>
    <n v="0.1"/>
    <n v="27000"/>
    <n v="0"/>
    <x v="1"/>
  </r>
  <r>
    <d v="2026-04-11T00:00:00"/>
    <x v="5"/>
    <x v="2"/>
    <s v="Nkechi U."/>
    <x v="0"/>
    <n v="65000"/>
    <n v="1"/>
    <n v="0.05"/>
    <n v="61750"/>
    <n v="3281.99"/>
    <x v="1"/>
  </r>
  <r>
    <d v="2026-04-11T00:00:00"/>
    <x v="1"/>
    <x v="3"/>
    <s v="Chidinma O."/>
    <x v="4"/>
    <n v="5000"/>
    <n v="2"/>
    <n v="0"/>
    <n v="10000"/>
    <n v="0"/>
    <x v="0"/>
  </r>
  <r>
    <d v="2026-04-12T00:00:00"/>
    <x v="3"/>
    <x v="0"/>
    <s v="Nkechi U."/>
    <x v="3"/>
    <n v="35000"/>
    <n v="1"/>
    <n v="0"/>
    <n v="35000"/>
    <n v="610.28"/>
    <x v="1"/>
  </r>
  <r>
    <d v="2026-04-15T00:00:00"/>
    <x v="4"/>
    <x v="0"/>
    <s v="Bayo A."/>
    <x v="4"/>
    <n v="5000"/>
    <n v="1"/>
    <n v="0"/>
    <n v="5000"/>
    <n v="1827.02"/>
    <x v="0"/>
  </r>
  <r>
    <d v="2026-04-19T00:00:00"/>
    <x v="4"/>
    <x v="3"/>
    <s v="Emeka N."/>
    <x v="4"/>
    <n v="5000"/>
    <n v="1"/>
    <n v="0.05"/>
    <n v="4750"/>
    <n v="0"/>
    <x v="0"/>
  </r>
  <r>
    <d v="2026-04-19T00:00:00"/>
    <x v="5"/>
    <x v="4"/>
    <s v="Chidinma O."/>
    <x v="2"/>
    <n v="8000"/>
    <n v="1"/>
    <n v="0.05"/>
    <n v="7600"/>
    <n v="1282.47"/>
    <x v="1"/>
  </r>
  <r>
    <d v="2026-04-19T00:00:00"/>
    <x v="3"/>
    <x v="0"/>
    <s v="Tunde K."/>
    <x v="2"/>
    <n v="8000"/>
    <n v="1"/>
    <n v="0"/>
    <n v="8000"/>
    <n v="1627.57"/>
    <x v="0"/>
  </r>
  <r>
    <d v="2026-04-19T00:00:00"/>
    <x v="2"/>
    <x v="5"/>
    <s v="Bayo A."/>
    <x v="1"/>
    <n v="15000"/>
    <n v="1"/>
    <n v="0.05"/>
    <n v="14250"/>
    <n v="0"/>
    <x v="1"/>
  </r>
  <r>
    <d v="2026-04-21T00:00:00"/>
    <x v="1"/>
    <x v="0"/>
    <s v="Chidinma O."/>
    <x v="2"/>
    <n v="8000"/>
    <n v="1"/>
    <n v="0.15"/>
    <n v="6800"/>
    <n v="2847.44"/>
    <x v="1"/>
  </r>
  <r>
    <d v="2026-04-22T00:00:00"/>
    <x v="3"/>
    <x v="1"/>
    <s v="Emeka N."/>
    <x v="1"/>
    <n v="15000"/>
    <n v="1"/>
    <n v="0.15"/>
    <n v="12750"/>
    <n v="1956.41"/>
    <x v="0"/>
  </r>
  <r>
    <d v="2026-04-25T00:00:00"/>
    <x v="1"/>
    <x v="4"/>
    <s v="Fatima S."/>
    <x v="2"/>
    <n v="8000"/>
    <n v="2"/>
    <n v="0.2"/>
    <n v="12800"/>
    <n v="262.8"/>
    <x v="1"/>
  </r>
  <r>
    <d v="2026-04-25T00:00:00"/>
    <x v="3"/>
    <x v="1"/>
    <s v="Bayo A."/>
    <x v="3"/>
    <n v="35000"/>
    <n v="2"/>
    <n v="0.15"/>
    <n v="59500"/>
    <n v="366.32"/>
    <x v="1"/>
  </r>
  <r>
    <d v="2026-04-25T00:00:00"/>
    <x v="3"/>
    <x v="2"/>
    <s v="Bayo A."/>
    <x v="3"/>
    <n v="35000"/>
    <n v="1"/>
    <n v="0.2"/>
    <n v="28000"/>
    <n v="3456.04"/>
    <x v="0"/>
  </r>
  <r>
    <d v="2026-04-26T00:00:00"/>
    <x v="4"/>
    <x v="4"/>
    <s v="Bayo A."/>
    <x v="0"/>
    <n v="65000"/>
    <n v="2"/>
    <n v="0.2"/>
    <n v="104000"/>
    <n v="2484.86"/>
    <x v="0"/>
  </r>
  <r>
    <d v="2026-04-27T00:00:00"/>
    <x v="1"/>
    <x v="4"/>
    <s v="Emeka N."/>
    <x v="4"/>
    <n v="5000"/>
    <n v="2"/>
    <n v="0"/>
    <n v="10000"/>
    <n v="2769.09"/>
    <x v="0"/>
  </r>
  <r>
    <d v="2026-04-28T00:00:00"/>
    <x v="4"/>
    <x v="5"/>
    <s v="Nkechi U."/>
    <x v="1"/>
    <n v="15000"/>
    <n v="1"/>
    <n v="0.15"/>
    <n v="12750"/>
    <n v="0"/>
    <x v="1"/>
  </r>
  <r>
    <d v="2026-04-29T00:00:00"/>
    <x v="1"/>
    <x v="0"/>
    <s v="Emeka N."/>
    <x v="1"/>
    <n v="15000"/>
    <n v="2"/>
    <n v="0.05"/>
    <n v="28500"/>
    <n v="2425.41"/>
    <x v="1"/>
  </r>
  <r>
    <d v="2026-04-29T00:00:00"/>
    <x v="2"/>
    <x v="3"/>
    <s v="Emeka N."/>
    <x v="3"/>
    <n v="35000"/>
    <n v="3"/>
    <n v="0.15"/>
    <n v="89250"/>
    <n v="0"/>
    <x v="0"/>
  </r>
  <r>
    <d v="2026-05-01T00:00:00"/>
    <x v="3"/>
    <x v="3"/>
    <s v="Chidinma O."/>
    <x v="1"/>
    <n v="15000"/>
    <n v="2"/>
    <n v="0"/>
    <n v="30000"/>
    <n v="0"/>
    <x v="1"/>
  </r>
  <r>
    <d v="2026-05-02T00:00:00"/>
    <x v="3"/>
    <x v="3"/>
    <s v="Bayo A."/>
    <x v="0"/>
    <n v="65000"/>
    <n v="1"/>
    <n v="0"/>
    <n v="65000"/>
    <n v="0"/>
    <x v="1"/>
  </r>
  <r>
    <d v="2026-05-02T00:00:00"/>
    <x v="1"/>
    <x v="0"/>
    <s v="Bayo A."/>
    <x v="0"/>
    <n v="65000"/>
    <n v="2"/>
    <n v="0"/>
    <n v="130000"/>
    <n v="2747.01"/>
    <x v="1"/>
  </r>
  <r>
    <d v="2026-05-03T00:00:00"/>
    <x v="0"/>
    <x v="2"/>
    <s v="Nkechi U."/>
    <x v="1"/>
    <n v="15000"/>
    <n v="2"/>
    <n v="0"/>
    <n v="30000"/>
    <n v="499.21"/>
    <x v="1"/>
  </r>
  <r>
    <d v="2026-05-06T00:00:00"/>
    <x v="1"/>
    <x v="2"/>
    <s v="Bayo A."/>
    <x v="4"/>
    <n v="5000"/>
    <n v="2"/>
    <n v="0"/>
    <n v="10000"/>
    <n v="1792.62"/>
    <x v="1"/>
  </r>
  <r>
    <d v="2026-05-09T00:00:00"/>
    <x v="3"/>
    <x v="6"/>
    <s v="Chidinma O."/>
    <x v="0"/>
    <n v="65000"/>
    <n v="2"/>
    <n v="0"/>
    <n v="130000"/>
    <n v="0"/>
    <x v="1"/>
  </r>
  <r>
    <d v="2026-05-09T00:00:00"/>
    <x v="1"/>
    <x v="0"/>
    <s v="Chidinma O."/>
    <x v="0"/>
    <n v="65000"/>
    <n v="1"/>
    <n v="0.05"/>
    <n v="61750"/>
    <n v="1034.71"/>
    <x v="1"/>
  </r>
  <r>
    <d v="2026-05-10T00:00:00"/>
    <x v="4"/>
    <x v="4"/>
    <s v="Bayo A."/>
    <x v="0"/>
    <n v="65000"/>
    <n v="3"/>
    <n v="0.15"/>
    <n v="165750"/>
    <n v="3232.94"/>
    <x v="1"/>
  </r>
  <r>
    <d v="2026-05-10T00:00:00"/>
    <x v="1"/>
    <x v="1"/>
    <s v="Fatima S."/>
    <x v="2"/>
    <n v="8000"/>
    <n v="1"/>
    <n v="0.15"/>
    <n v="6800"/>
    <n v="288.64"/>
    <x v="1"/>
  </r>
  <r>
    <d v="2026-05-12T00:00:00"/>
    <x v="3"/>
    <x v="1"/>
    <s v="Fatima S."/>
    <x v="0"/>
    <n v="65000"/>
    <n v="1"/>
    <n v="0"/>
    <n v="65000"/>
    <n v="903.76"/>
    <x v="1"/>
  </r>
  <r>
    <d v="2026-05-15T00:00:00"/>
    <x v="0"/>
    <x v="6"/>
    <s v="Chidinma O."/>
    <x v="1"/>
    <n v="15000"/>
    <n v="1"/>
    <n v="0"/>
    <n v="15000"/>
    <n v="0"/>
    <x v="0"/>
  </r>
  <r>
    <d v="2026-05-15T00:00:00"/>
    <x v="3"/>
    <x v="2"/>
    <s v="Bayo A."/>
    <x v="4"/>
    <n v="5000"/>
    <n v="3"/>
    <n v="0"/>
    <n v="15000"/>
    <n v="2199.29"/>
    <x v="1"/>
  </r>
  <r>
    <d v="2026-05-15T00:00:00"/>
    <x v="3"/>
    <x v="0"/>
    <s v="Chidinma O."/>
    <x v="1"/>
    <n v="15000"/>
    <n v="1"/>
    <n v="0.2"/>
    <n v="12000"/>
    <n v="1761"/>
    <x v="1"/>
  </r>
  <r>
    <d v="2026-05-16T00:00:00"/>
    <x v="2"/>
    <x v="4"/>
    <s v="Bayo A."/>
    <x v="1"/>
    <n v="15000"/>
    <n v="1"/>
    <n v="0"/>
    <n v="15000"/>
    <n v="3427.1"/>
    <x v="0"/>
  </r>
  <r>
    <d v="2026-05-17T00:00:00"/>
    <x v="0"/>
    <x v="5"/>
    <s v="Chidinma O."/>
    <x v="0"/>
    <n v="65000"/>
    <n v="1"/>
    <n v="0.15"/>
    <n v="55250"/>
    <n v="0"/>
    <x v="0"/>
  </r>
  <r>
    <d v="2026-05-20T00:00:00"/>
    <x v="1"/>
    <x v="4"/>
    <s v="Fatima S."/>
    <x v="0"/>
    <n v="65000"/>
    <n v="1"/>
    <n v="0.2"/>
    <n v="52000"/>
    <n v="3341.65"/>
    <x v="0"/>
  </r>
  <r>
    <d v="2026-05-21T00:00:00"/>
    <x v="1"/>
    <x v="6"/>
    <s v="Bayo A."/>
    <x v="4"/>
    <n v="5000"/>
    <n v="2"/>
    <n v="0.2"/>
    <n v="8000"/>
    <n v="0"/>
    <x v="0"/>
  </r>
  <r>
    <d v="2026-05-21T00:00:00"/>
    <x v="3"/>
    <x v="6"/>
    <s v="Bayo A."/>
    <x v="2"/>
    <n v="8000"/>
    <n v="2"/>
    <n v="0"/>
    <n v="16000"/>
    <n v="0"/>
    <x v="0"/>
  </r>
  <r>
    <d v="2026-05-21T00:00:00"/>
    <x v="4"/>
    <x v="2"/>
    <s v="Tunde K."/>
    <x v="2"/>
    <n v="8000"/>
    <n v="2"/>
    <n v="0.2"/>
    <n v="12800"/>
    <n v="1071.42"/>
    <x v="0"/>
  </r>
  <r>
    <d v="2026-05-22T00:00:00"/>
    <x v="1"/>
    <x v="4"/>
    <s v="Emeka N."/>
    <x v="4"/>
    <n v="5000"/>
    <n v="1"/>
    <n v="0"/>
    <n v="5000"/>
    <n v="1090.3"/>
    <x v="0"/>
  </r>
  <r>
    <d v="2026-05-24T00:00:00"/>
    <x v="4"/>
    <x v="2"/>
    <s v="Fatima S."/>
    <x v="1"/>
    <n v="15000"/>
    <n v="3"/>
    <n v="0"/>
    <n v="45000"/>
    <n v="2912.13"/>
    <x v="0"/>
  </r>
  <r>
    <d v="2026-05-26T00:00:00"/>
    <x v="3"/>
    <x v="1"/>
    <s v="Chidinma O."/>
    <x v="1"/>
    <n v="15000"/>
    <n v="1"/>
    <n v="0.1"/>
    <n v="13500"/>
    <n v="1200.1400000000001"/>
    <x v="1"/>
  </r>
  <r>
    <d v="2026-05-27T00:00:00"/>
    <x v="0"/>
    <x v="4"/>
    <s v="Emeka N."/>
    <x v="2"/>
    <n v="8000"/>
    <n v="2"/>
    <n v="0"/>
    <n v="16000"/>
    <n v="2514.5100000000002"/>
    <x v="1"/>
  </r>
  <r>
    <d v="2026-05-27T00:00:00"/>
    <x v="2"/>
    <x v="1"/>
    <s v="Chidinma O."/>
    <x v="3"/>
    <n v="35000"/>
    <n v="1"/>
    <n v="0"/>
    <n v="35000"/>
    <n v="3327.37"/>
    <x v="0"/>
  </r>
  <r>
    <d v="2026-05-28T00:00:00"/>
    <x v="3"/>
    <x v="0"/>
    <s v="Chidinma O."/>
    <x v="2"/>
    <n v="8000"/>
    <n v="2"/>
    <n v="0.05"/>
    <n v="15200"/>
    <n v="1941.48"/>
    <x v="1"/>
  </r>
  <r>
    <d v="2026-05-31T00:00:00"/>
    <x v="1"/>
    <x v="1"/>
    <s v="Bayo A."/>
    <x v="0"/>
    <n v="65000"/>
    <n v="1"/>
    <n v="0"/>
    <n v="65000"/>
    <n v="3194.11"/>
    <x v="0"/>
  </r>
  <r>
    <d v="2026-05-31T00:00:00"/>
    <x v="1"/>
    <x v="4"/>
    <s v="Chidinma O."/>
    <x v="4"/>
    <n v="5000"/>
    <n v="1"/>
    <n v="0"/>
    <n v="5000"/>
    <n v="2038.5"/>
    <x v="1"/>
  </r>
  <r>
    <d v="2026-05-31T00:00:00"/>
    <x v="1"/>
    <x v="4"/>
    <s v="Bayo A."/>
    <x v="3"/>
    <n v="35000"/>
    <n v="3"/>
    <n v="0"/>
    <n v="105000"/>
    <n v="2851.51"/>
    <x v="1"/>
  </r>
  <r>
    <d v="2026-06-01T00:00:00"/>
    <x v="3"/>
    <x v="3"/>
    <s v="Chidinma O."/>
    <x v="3"/>
    <n v="35000"/>
    <n v="3"/>
    <n v="0.05"/>
    <n v="99750"/>
    <n v="0"/>
    <x v="0"/>
  </r>
  <r>
    <d v="2026-06-02T00:00:00"/>
    <x v="4"/>
    <x v="1"/>
    <s v="Emeka N."/>
    <x v="2"/>
    <n v="8000"/>
    <n v="3"/>
    <n v="0"/>
    <n v="24000"/>
    <n v="448.69"/>
    <x v="0"/>
  </r>
  <r>
    <d v="2026-06-06T00:00:00"/>
    <x v="2"/>
    <x v="4"/>
    <s v="Emeka N."/>
    <x v="3"/>
    <n v="35000"/>
    <n v="3"/>
    <n v="0"/>
    <n v="105000"/>
    <n v="1982.28"/>
    <x v="0"/>
  </r>
  <r>
    <d v="2026-06-10T00:00:00"/>
    <x v="2"/>
    <x v="4"/>
    <s v="Emeka N."/>
    <x v="2"/>
    <n v="8000"/>
    <n v="3"/>
    <n v="0"/>
    <n v="24000"/>
    <n v="2072.3200000000002"/>
    <x v="0"/>
  </r>
  <r>
    <d v="2026-06-11T00:00:00"/>
    <x v="4"/>
    <x v="1"/>
    <s v="Bayo A."/>
    <x v="1"/>
    <n v="15000"/>
    <n v="1"/>
    <n v="0.2"/>
    <n v="12000"/>
    <n v="3122.53"/>
    <x v="0"/>
  </r>
  <r>
    <d v="2026-06-12T00:00:00"/>
    <x v="4"/>
    <x v="4"/>
    <s v="Tunde K."/>
    <x v="4"/>
    <n v="5000"/>
    <n v="1"/>
    <n v="0.1"/>
    <n v="4500"/>
    <n v="243.71"/>
    <x v="1"/>
  </r>
  <r>
    <d v="2026-06-13T00:00:00"/>
    <x v="3"/>
    <x v="2"/>
    <s v="Chidinma O."/>
    <x v="1"/>
    <n v="15000"/>
    <n v="3"/>
    <n v="0"/>
    <n v="45000"/>
    <n v="3084.37"/>
    <x v="0"/>
  </r>
  <r>
    <d v="2026-06-16T00:00:00"/>
    <x v="4"/>
    <x v="2"/>
    <s v="Fatima S."/>
    <x v="1"/>
    <n v="15000"/>
    <n v="1"/>
    <n v="0"/>
    <n v="15000"/>
    <n v="3067.86"/>
    <x v="0"/>
  </r>
  <r>
    <d v="2026-06-16T00:00:00"/>
    <x v="3"/>
    <x v="6"/>
    <s v="Bayo A."/>
    <x v="0"/>
    <n v="65000"/>
    <n v="2"/>
    <n v="0"/>
    <n v="130000"/>
    <n v="0"/>
    <x v="0"/>
  </r>
  <r>
    <d v="2026-06-17T00:00:00"/>
    <x v="3"/>
    <x v="2"/>
    <s v="Bayo A."/>
    <x v="1"/>
    <n v="15000"/>
    <n v="1"/>
    <n v="0.05"/>
    <n v="14250"/>
    <n v="223.36"/>
    <x v="0"/>
  </r>
  <r>
    <d v="2026-06-18T00:00:00"/>
    <x v="4"/>
    <x v="4"/>
    <s v="Chidinma O."/>
    <x v="2"/>
    <n v="8000"/>
    <n v="1"/>
    <n v="0"/>
    <n v="8000"/>
    <n v="976.64"/>
    <x v="1"/>
  </r>
  <r>
    <d v="2026-06-19T00:00:00"/>
    <x v="2"/>
    <x v="0"/>
    <s v="Bayo A."/>
    <x v="2"/>
    <n v="8000"/>
    <n v="1"/>
    <n v="0"/>
    <n v="8000"/>
    <n v="2356.81"/>
    <x v="0"/>
  </r>
  <r>
    <d v="2026-06-23T00:00:00"/>
    <x v="3"/>
    <x v="1"/>
    <s v="Tunde K."/>
    <x v="0"/>
    <n v="65000"/>
    <n v="1"/>
    <n v="0.1"/>
    <n v="58500"/>
    <n v="996.37"/>
    <x v="0"/>
  </r>
  <r>
    <d v="2026-06-25T00:00:00"/>
    <x v="1"/>
    <x v="1"/>
    <s v="Chidinma O."/>
    <x v="4"/>
    <n v="5000"/>
    <n v="1"/>
    <n v="0.1"/>
    <n v="4500"/>
    <n v="2162.09"/>
    <x v="0"/>
  </r>
  <r>
    <d v="2026-06-28T00:00:00"/>
    <x v="3"/>
    <x v="1"/>
    <s v="Emeka N."/>
    <x v="0"/>
    <n v="65000"/>
    <n v="3"/>
    <n v="0"/>
    <n v="195000"/>
    <n v="1787.64"/>
    <x v="0"/>
  </r>
  <r>
    <d v="2026-06-28T00:00:00"/>
    <x v="1"/>
    <x v="2"/>
    <s v="Emeka N."/>
    <x v="3"/>
    <n v="35000"/>
    <n v="1"/>
    <n v="0.15"/>
    <n v="29750"/>
    <n v="351.44"/>
    <x v="0"/>
  </r>
  <r>
    <d v="2026-06-29T00:00:00"/>
    <x v="3"/>
    <x v="6"/>
    <s v="Bayo A."/>
    <x v="3"/>
    <n v="35000"/>
    <n v="2"/>
    <n v="0"/>
    <n v="70000"/>
    <n v="0"/>
    <x v="0"/>
  </r>
  <r>
    <d v="2026-06-30T00:00:00"/>
    <x v="3"/>
    <x v="2"/>
    <s v="Bayo A."/>
    <x v="4"/>
    <n v="5000"/>
    <n v="1"/>
    <n v="0"/>
    <n v="5000"/>
    <n v="1121.68"/>
    <x v="0"/>
  </r>
  <r>
    <d v="2026-07-02T00:00:00"/>
    <x v="1"/>
    <x v="4"/>
    <s v="Emeka N."/>
    <x v="1"/>
    <n v="15000"/>
    <n v="1"/>
    <n v="0.2"/>
    <n v="12000"/>
    <n v="2122.06"/>
    <x v="0"/>
  </r>
  <r>
    <d v="2026-07-02T00:00:00"/>
    <x v="4"/>
    <x v="1"/>
    <s v="Tunde K."/>
    <x v="4"/>
    <n v="5000"/>
    <n v="1"/>
    <n v="0.05"/>
    <n v="4750"/>
    <n v="945.95"/>
    <x v="0"/>
  </r>
  <r>
    <d v="2026-07-08T00:00:00"/>
    <x v="4"/>
    <x v="0"/>
    <s v="Emeka N."/>
    <x v="0"/>
    <n v="65000"/>
    <n v="1"/>
    <n v="0.05"/>
    <n v="61750"/>
    <n v="2436.27"/>
    <x v="0"/>
  </r>
  <r>
    <d v="2026-07-11T00:00:00"/>
    <x v="4"/>
    <x v="4"/>
    <s v="Fatima S."/>
    <x v="2"/>
    <n v="8000"/>
    <n v="1"/>
    <n v="0"/>
    <n v="8000"/>
    <n v="1603.69"/>
    <x v="1"/>
  </r>
  <r>
    <d v="2026-07-12T00:00:00"/>
    <x v="4"/>
    <x v="4"/>
    <s v="Chidinma O."/>
    <x v="2"/>
    <n v="8000"/>
    <n v="2"/>
    <n v="0"/>
    <n v="16000"/>
    <n v="1968.48"/>
    <x v="0"/>
  </r>
  <r>
    <d v="2026-07-13T00:00:00"/>
    <x v="5"/>
    <x v="6"/>
    <s v="Tunde K."/>
    <x v="4"/>
    <n v="5000"/>
    <n v="1"/>
    <n v="0"/>
    <n v="5000"/>
    <n v="0"/>
    <x v="0"/>
  </r>
  <r>
    <d v="2026-07-15T00:00:00"/>
    <x v="3"/>
    <x v="4"/>
    <s v="Emeka N."/>
    <x v="3"/>
    <n v="35000"/>
    <n v="1"/>
    <n v="0.05"/>
    <n v="33250"/>
    <n v="3013.69"/>
    <x v="0"/>
  </r>
  <r>
    <d v="2026-07-16T00:00:00"/>
    <x v="2"/>
    <x v="0"/>
    <s v="Bayo A."/>
    <x v="3"/>
    <n v="35000"/>
    <n v="1"/>
    <n v="0"/>
    <n v="35000"/>
    <n v="3224.15"/>
    <x v="0"/>
  </r>
  <r>
    <d v="2026-07-16T00:00:00"/>
    <x v="3"/>
    <x v="2"/>
    <s v="Bayo A."/>
    <x v="1"/>
    <n v="15000"/>
    <n v="2"/>
    <n v="0"/>
    <n v="30000"/>
    <n v="3243.48"/>
    <x v="1"/>
  </r>
  <r>
    <d v="2026-07-17T00:00:00"/>
    <x v="4"/>
    <x v="4"/>
    <s v="Chidinma O."/>
    <x v="2"/>
    <n v="8000"/>
    <n v="1"/>
    <n v="0"/>
    <n v="8000"/>
    <n v="1342.68"/>
    <x v="1"/>
  </r>
  <r>
    <d v="2026-07-18T00:00:00"/>
    <x v="4"/>
    <x v="1"/>
    <s v="Chidinma O."/>
    <x v="4"/>
    <n v="5000"/>
    <n v="3"/>
    <n v="0.1"/>
    <n v="13500"/>
    <n v="3124.15"/>
    <x v="0"/>
  </r>
  <r>
    <d v="2026-07-19T00:00:00"/>
    <x v="0"/>
    <x v="3"/>
    <s v="Bayo A."/>
    <x v="1"/>
    <n v="15000"/>
    <n v="1"/>
    <n v="0.2"/>
    <n v="12000"/>
    <n v="0"/>
    <x v="0"/>
  </r>
  <r>
    <d v="2026-07-20T00:00:00"/>
    <x v="4"/>
    <x v="2"/>
    <s v="Emeka N."/>
    <x v="4"/>
    <n v="5000"/>
    <n v="2"/>
    <n v="0"/>
    <n v="10000"/>
    <n v="1401.2"/>
    <x v="0"/>
  </r>
  <r>
    <d v="2026-07-22T00:00:00"/>
    <x v="1"/>
    <x v="6"/>
    <s v="Bayo A."/>
    <x v="4"/>
    <n v="5000"/>
    <n v="2"/>
    <n v="0.1"/>
    <n v="9000"/>
    <n v="0"/>
    <x v="1"/>
  </r>
  <r>
    <d v="2026-07-23T00:00:00"/>
    <x v="3"/>
    <x v="1"/>
    <s v="Chidinma O."/>
    <x v="0"/>
    <n v="65000"/>
    <n v="1"/>
    <n v="0"/>
    <n v="65000"/>
    <n v="2613.7600000000002"/>
    <x v="0"/>
  </r>
  <r>
    <d v="2026-07-24T00:00:00"/>
    <x v="2"/>
    <x v="0"/>
    <s v="Tunde K."/>
    <x v="1"/>
    <n v="15000"/>
    <n v="1"/>
    <n v="0.1"/>
    <n v="13500"/>
    <n v="3468.15"/>
    <x v="0"/>
  </r>
  <r>
    <d v="2026-07-26T00:00:00"/>
    <x v="3"/>
    <x v="3"/>
    <s v="Fatima S."/>
    <x v="1"/>
    <n v="15000"/>
    <n v="1"/>
    <n v="0"/>
    <n v="15000"/>
    <n v="0"/>
    <x v="0"/>
  </r>
  <r>
    <d v="2026-07-26T00:00:00"/>
    <x v="1"/>
    <x v="0"/>
    <s v="Bayo A."/>
    <x v="4"/>
    <n v="5000"/>
    <n v="1"/>
    <n v="0.2"/>
    <n v="4000"/>
    <n v="2871.93"/>
    <x v="0"/>
  </r>
  <r>
    <d v="2026-07-27T00:00:00"/>
    <x v="3"/>
    <x v="4"/>
    <s v="Nkechi U."/>
    <x v="4"/>
    <n v="5000"/>
    <n v="2"/>
    <n v="0"/>
    <n v="10000"/>
    <n v="1583.46"/>
    <x v="1"/>
  </r>
  <r>
    <d v="2026-07-28T00:00:00"/>
    <x v="3"/>
    <x v="5"/>
    <s v="Fatima S."/>
    <x v="2"/>
    <n v="8000"/>
    <n v="1"/>
    <n v="0"/>
    <n v="8000"/>
    <n v="0"/>
    <x v="0"/>
  </r>
  <r>
    <d v="2026-07-29T00:00:00"/>
    <x v="3"/>
    <x v="4"/>
    <s v="Bayo A."/>
    <x v="1"/>
    <n v="15000"/>
    <n v="1"/>
    <n v="0.1"/>
    <n v="13500"/>
    <n v="423.54"/>
    <x v="1"/>
  </r>
  <r>
    <d v="2026-08-02T00:00:00"/>
    <x v="4"/>
    <x v="4"/>
    <s v="Chidinma O."/>
    <x v="0"/>
    <n v="65000"/>
    <n v="2"/>
    <n v="0.05"/>
    <n v="123500"/>
    <n v="2922.88"/>
    <x v="0"/>
  </r>
  <r>
    <d v="2026-08-03T00:00:00"/>
    <x v="0"/>
    <x v="0"/>
    <s v="Chidinma O."/>
    <x v="2"/>
    <n v="8000"/>
    <n v="1"/>
    <n v="0.1"/>
    <n v="7200"/>
    <n v="1587.16"/>
    <x v="0"/>
  </r>
  <r>
    <d v="2026-08-03T00:00:00"/>
    <x v="3"/>
    <x v="1"/>
    <s v="Fatima S."/>
    <x v="0"/>
    <n v="65000"/>
    <n v="3"/>
    <n v="0.05"/>
    <n v="185250"/>
    <n v="1263.07"/>
    <x v="0"/>
  </r>
  <r>
    <d v="2026-08-04T00:00:00"/>
    <x v="0"/>
    <x v="2"/>
    <s v="Nkechi U."/>
    <x v="2"/>
    <n v="8000"/>
    <n v="2"/>
    <n v="0"/>
    <n v="16000"/>
    <n v="3244.11"/>
    <x v="1"/>
  </r>
  <r>
    <d v="2026-08-05T00:00:00"/>
    <x v="3"/>
    <x v="1"/>
    <s v="Bayo A."/>
    <x v="1"/>
    <n v="15000"/>
    <n v="3"/>
    <n v="0.15"/>
    <n v="38250"/>
    <n v="1639.39"/>
    <x v="1"/>
  </r>
  <r>
    <d v="2026-08-05T00:00:00"/>
    <x v="1"/>
    <x v="2"/>
    <s v="Fatima S."/>
    <x v="3"/>
    <n v="35000"/>
    <n v="2"/>
    <n v="0.15"/>
    <n v="59500"/>
    <n v="2844.09"/>
    <x v="1"/>
  </r>
  <r>
    <d v="2026-08-06T00:00:00"/>
    <x v="3"/>
    <x v="5"/>
    <s v="Bayo A."/>
    <x v="0"/>
    <n v="65000"/>
    <n v="2"/>
    <n v="0.2"/>
    <n v="104000"/>
    <n v="0"/>
    <x v="0"/>
  </r>
  <r>
    <d v="2026-08-06T00:00:00"/>
    <x v="4"/>
    <x v="2"/>
    <s v="Bayo A."/>
    <x v="1"/>
    <n v="15000"/>
    <n v="1"/>
    <n v="0"/>
    <n v="15000"/>
    <n v="2309.31"/>
    <x v="0"/>
  </r>
  <r>
    <d v="2026-08-06T00:00:00"/>
    <x v="5"/>
    <x v="0"/>
    <s v="Emeka N."/>
    <x v="3"/>
    <n v="35000"/>
    <n v="1"/>
    <n v="0.2"/>
    <n v="28000"/>
    <n v="1011.47"/>
    <x v="0"/>
  </r>
  <r>
    <d v="2026-08-06T00:00:00"/>
    <x v="0"/>
    <x v="6"/>
    <s v="Emeka N."/>
    <x v="4"/>
    <n v="5000"/>
    <n v="3"/>
    <n v="0.05"/>
    <n v="14250"/>
    <n v="0"/>
    <x v="1"/>
  </r>
  <r>
    <d v="2026-08-08T00:00:00"/>
    <x v="4"/>
    <x v="1"/>
    <s v="Chidinma O."/>
    <x v="2"/>
    <n v="8000"/>
    <n v="2"/>
    <n v="0"/>
    <n v="16000"/>
    <n v="1939.09"/>
    <x v="1"/>
  </r>
  <r>
    <d v="2026-08-12T00:00:00"/>
    <x v="3"/>
    <x v="0"/>
    <s v="Emeka N."/>
    <x v="1"/>
    <n v="15000"/>
    <n v="2"/>
    <n v="0"/>
    <n v="30000"/>
    <n v="1046.8900000000001"/>
    <x v="1"/>
  </r>
  <r>
    <d v="2026-08-13T00:00:00"/>
    <x v="4"/>
    <x v="6"/>
    <s v="Fatima S."/>
    <x v="0"/>
    <n v="65000"/>
    <n v="1"/>
    <n v="0"/>
    <n v="65000"/>
    <n v="0"/>
    <x v="1"/>
  </r>
  <r>
    <d v="2026-08-16T00:00:00"/>
    <x v="1"/>
    <x v="4"/>
    <s v="Fatima S."/>
    <x v="3"/>
    <n v="35000"/>
    <n v="2"/>
    <n v="0.1"/>
    <n v="63000"/>
    <n v="2942.83"/>
    <x v="0"/>
  </r>
  <r>
    <d v="2026-08-16T00:00:00"/>
    <x v="4"/>
    <x v="0"/>
    <s v="Chidinma O."/>
    <x v="2"/>
    <n v="8000"/>
    <n v="1"/>
    <n v="0.05"/>
    <n v="7600"/>
    <n v="690.39"/>
    <x v="0"/>
  </r>
  <r>
    <d v="2026-08-22T00:00:00"/>
    <x v="3"/>
    <x v="4"/>
    <s v="Chidinma O."/>
    <x v="0"/>
    <n v="65000"/>
    <n v="3"/>
    <n v="0"/>
    <n v="195000"/>
    <n v="1706.89"/>
    <x v="1"/>
  </r>
  <r>
    <d v="2026-08-23T00:00:00"/>
    <x v="5"/>
    <x v="6"/>
    <s v="Chidinma O."/>
    <x v="3"/>
    <n v="35000"/>
    <n v="2"/>
    <n v="0.2"/>
    <n v="56000"/>
    <n v="0"/>
    <x v="0"/>
  </r>
  <r>
    <d v="2026-08-27T00:00:00"/>
    <x v="1"/>
    <x v="3"/>
    <s v="Bayo A."/>
    <x v="0"/>
    <n v="65000"/>
    <n v="1"/>
    <n v="0.05"/>
    <n v="61750"/>
    <n v="0"/>
    <x v="0"/>
  </r>
  <r>
    <d v="2026-08-28T00:00:00"/>
    <x v="4"/>
    <x v="1"/>
    <s v="Bayo A."/>
    <x v="2"/>
    <n v="8000"/>
    <n v="3"/>
    <n v="0"/>
    <n v="24000"/>
    <n v="3158.51"/>
    <x v="0"/>
  </r>
  <r>
    <d v="2026-08-28T00:00:00"/>
    <x v="5"/>
    <x v="6"/>
    <s v="Emeka N."/>
    <x v="4"/>
    <n v="5000"/>
    <n v="2"/>
    <n v="0.2"/>
    <n v="8000"/>
    <n v="0"/>
    <x v="1"/>
  </r>
  <r>
    <d v="2026-08-31T00:00:00"/>
    <x v="1"/>
    <x v="2"/>
    <s v="Bayo A."/>
    <x v="4"/>
    <n v="5000"/>
    <n v="1"/>
    <n v="0"/>
    <n v="5000"/>
    <n v="308.58"/>
    <x v="0"/>
  </r>
  <r>
    <d v="2026-09-02T00:00:00"/>
    <x v="4"/>
    <x v="4"/>
    <s v="Fatima S."/>
    <x v="4"/>
    <n v="5000"/>
    <n v="2"/>
    <n v="0.2"/>
    <n v="8000"/>
    <n v="1712.3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6FB2E-CD31-413F-9D8C-D0DAD265A71A}" name="PivotTable2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 rowHeaderCaption="Months" colHeaderCaption="Year">
  <location ref="D42:G51" firstHeaderRow="1" firstDataRow="2" firstDataCol="1"/>
  <pivotFields count="19">
    <pivotField showAll="0"/>
    <pivotField showAll="0"/>
    <pivotField numFmtId="164" showAll="0">
      <items count="3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h="1" x="9"/>
        <item h="1" x="10"/>
        <item h="1" x="11"/>
        <item h="1" x="12"/>
        <item x="13"/>
      </items>
    </pivotField>
    <pivotField showAll="0" defaultSubtotal="0"/>
    <pivotField axis="axisCol" showAll="0" defaultSubtotal="0">
      <items count="4">
        <item x="0"/>
        <item x="1"/>
        <item x="2"/>
        <item x="3"/>
      </items>
    </pivotField>
  </pivotFields>
  <rowFields count="1">
    <field x="1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18"/>
  </colFields>
  <colItems count="3">
    <i>
      <x v="1"/>
    </i>
    <i>
      <x v="2"/>
    </i>
    <i t="grand">
      <x/>
    </i>
  </colItems>
  <dataFields count="1">
    <dataField name="Sum of Revenue" fld="10" showDataAs="runTotal" baseField="16" baseItem="0"/>
  </dataField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28748-AFF7-4CD9-8F44-CDF86C70F073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-Plans">
  <location ref="N3:P9" firstHeaderRow="0" firstDataRow="1" firstDataCol="1"/>
  <pivotFields count="19">
    <pivotField dataField="1" showAll="0"/>
    <pivotField showAll="0"/>
    <pivotField numFmtId="164" showAll="0">
      <items count="3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2"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6">
    <i>
      <x v="2"/>
    </i>
    <i>
      <x v="3"/>
    </i>
    <i>
      <x v="4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Revenue" fld="10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FC1D6-89ED-4F47-8D95-87A72EECB87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Marketing Channels">
  <location ref="A2:B8" firstHeaderRow="1" firstDataRow="1" firstDataCol="1"/>
  <pivotFields count="19">
    <pivotField showAll="0"/>
    <pivotField showAll="0"/>
    <pivotField numFmtId="164" showAll="0">
      <items count="3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showAll="0"/>
    <pivotField axis="axisRow" showAll="0" sortType="descending">
      <items count="10">
        <item h="1" x="5"/>
        <item x="1"/>
        <item x="2"/>
        <item x="4"/>
        <item h="1" x="3"/>
        <item x="0"/>
        <item h="1" x="8"/>
        <item x="7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 v="3"/>
    </i>
    <i>
      <x v="1"/>
    </i>
    <i>
      <x v="5"/>
    </i>
    <i>
      <x v="2"/>
    </i>
    <i>
      <x v="7"/>
    </i>
    <i t="grand">
      <x/>
    </i>
  </rowItems>
  <colItems count="1">
    <i/>
  </colItems>
  <dataFields count="1">
    <dataField name="Total Adspend" fld="11" baseField="3" baseItem="1"/>
  </dataField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1F166-9A39-43D9-B566-FF061742A410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 rowHeaderCaption="Customer type">
  <location ref="A17:B20" firstHeaderRow="1" firstDataRow="1" firstDataCol="1"/>
  <pivotFields count="19">
    <pivotField dataField="1" showAll="0"/>
    <pivotField showAll="0"/>
    <pivotField numFmtId="164" showAll="0">
      <items count="3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Total number of Customers" fld="0" subtotal="count" showDataAs="percentOfTotal" baseField="12" baseItem="0" numFmtId="10"/>
  </dataFields>
  <formats count="5">
    <format dxfId="4">
      <pivotArea collapsedLevelsAreSubtotals="1" fieldPosition="0">
        <references count="1">
          <reference field="12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0"/>
          </reference>
        </references>
      </pivotArea>
    </format>
    <format dxfId="2">
      <pivotArea collapsedLevelsAreSubtotals="1" fieldPosition="0">
        <references count="1">
          <reference field="12" count="1">
            <x v="0"/>
          </reference>
        </references>
      </pivotArea>
    </format>
    <format dxfId="1">
      <pivotArea collapsedLevelsAreSubtotals="1" fieldPosition="0">
        <references count="1">
          <reference field="12" count="1">
            <x v="1"/>
          </reference>
        </references>
      </pivotArea>
    </format>
    <format dxfId="0">
      <pivotArea grandRow="1" outline="0" collapsedLevelsAreSubtotals="1" fieldPosition="0"/>
    </format>
  </format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BF4A8-C577-4436-ADE4-4E9EA985DA7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gion">
  <location ref="A46:B53" firstHeaderRow="1" firstDataRow="1" firstDataCol="1"/>
  <pivotFields count="19">
    <pivotField showAll="0"/>
    <pivotField showAll="0"/>
    <pivotField numFmtId="164" showAll="0">
      <items count="3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axis="axisRow" showAll="0" sortType="descending">
      <items count="9">
        <item m="1" x="7"/>
        <item x="1"/>
        <item x="4"/>
        <item x="2"/>
        <item x="3"/>
        <item m="1" x="6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"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7">
    <i>
      <x v="4"/>
    </i>
    <i>
      <x v="1"/>
    </i>
    <i>
      <x v="2"/>
    </i>
    <i>
      <x v="6"/>
    </i>
    <i>
      <x v="3"/>
    </i>
    <i>
      <x v="7"/>
    </i>
    <i t="grand">
      <x/>
    </i>
  </rowItems>
  <colItems count="1">
    <i/>
  </colItems>
  <dataFields count="1">
    <dataField name="Sum of Revenue" fld="10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98890-6A5D-417C-AF2E-A19B2549317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J3:L9" firstHeaderRow="0" firstDataRow="1" firstDataCol="1"/>
  <pivotFields count="12">
    <pivotField numFmtId="164" showAll="0"/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showAll="0"/>
    <pivotField showAll="0"/>
    <pivotField dataField="1" showAll="0"/>
    <pivotField showAll="0"/>
    <pivotField dataField="1" showAll="0"/>
    <pivotField dragToRow="0" dragToCol="0" dragToPage="0" showAll="0" defaultSubtotal="0"/>
  </pivotFields>
  <rowFields count="1">
    <field x="4"/>
  </rowFields>
  <rowItems count="6">
    <i>
      <x v="2"/>
    </i>
    <i>
      <x v="3"/>
    </i>
    <i>
      <x v="4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8" baseField="4" baseItem="2"/>
    <dataField name="Count of CustomerType" fld="1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39ABF-EB63-4CF6-B187-D25E4CE38AE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keting Channels">
  <location ref="F3:H12" firstHeaderRow="0" firstDataRow="1" firstDataCol="1" rowPageCount="1" colPageCount="1"/>
  <pivotFields count="12">
    <pivotField numFmtId="164" showAll="0"/>
    <pivotField showAll="0"/>
    <pivotField axis="axisRow" showAll="0" sortType="descending">
      <items count="10">
        <item x="5"/>
        <item x="1"/>
        <item x="2"/>
        <item x="4"/>
        <item x="3"/>
        <item x="0"/>
        <item x="8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2" showAll="0"/>
    <pivotField showAll="0"/>
    <pivotField showAll="0"/>
    <pivotField dataField="1" showAll="0"/>
    <pivotField showAll="0"/>
    <pivotField axis="axisPage" dataField="1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2"/>
  </rowFields>
  <rowItems count="9">
    <i>
      <x v="1"/>
    </i>
    <i>
      <x v="3"/>
    </i>
    <i>
      <x v="5"/>
    </i>
    <i>
      <x v="8"/>
    </i>
    <i>
      <x v="2"/>
    </i>
    <i>
      <x v="4"/>
    </i>
    <i>
      <x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10" item="0" hier="-1"/>
  </pageFields>
  <dataFields count="2">
    <dataField name="Count of CustomerType" fld="10" subtotal="count" baseField="0" baseItem="0"/>
    <dataField name="Sum of Revenue" fld="8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B7D7B-215F-4AE9-9BB9-26BE72734F47}" name="PivotTable18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1" firstHeaderRow="0" firstDataRow="0" firstDataCol="0"/>
  <pivotFields count="19">
    <pivotField showAll="0"/>
    <pivotField showAll="0"/>
    <pivotField numFmtId="164" showAll="0">
      <items count="3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61406-AF6B-4ACA-A404-B4C4A3BA3328}" name="PivotTable1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I18" firstHeaderRow="0" firstDataRow="0" firstDataCol="0"/>
  <pivotFields count="19">
    <pivotField showAll="0"/>
    <pivotField showAll="0"/>
    <pivotField axis="axisRow" numFmtId="164" showAll="0">
      <items count="3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4">
    <field x="18"/>
    <field x="17"/>
    <field x="16"/>
    <field x="2"/>
  </rowFields>
  <rowItems count="355">
    <i>
      <x v="1"/>
    </i>
    <i r="1">
      <x v="1"/>
    </i>
    <i r="2">
      <x v="1"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2">
      <x v="2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2">
      <x v="3"/>
    </i>
    <i r="3">
      <x v="26"/>
    </i>
    <i r="3">
      <x v="27"/>
    </i>
    <i r="3">
      <x v="28"/>
    </i>
    <i r="3">
      <x v="29"/>
    </i>
    <i r="3">
      <x v="30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1">
      <x v="2"/>
    </i>
    <i r="2">
      <x v="4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3">
      <x v="53"/>
    </i>
    <i r="3">
      <x v="54"/>
    </i>
    <i r="3">
      <x v="55"/>
    </i>
    <i r="2">
      <x v="5"/>
    </i>
    <i r="3">
      <x v="56"/>
    </i>
    <i r="3">
      <x v="57"/>
    </i>
    <i r="3">
      <x v="58"/>
    </i>
    <i r="3">
      <x v="59"/>
    </i>
    <i r="3">
      <x v="60"/>
    </i>
    <i r="3">
      <x v="61"/>
    </i>
    <i r="3">
      <x v="62"/>
    </i>
    <i r="3">
      <x v="63"/>
    </i>
    <i r="3">
      <x v="64"/>
    </i>
    <i r="3">
      <x v="65"/>
    </i>
    <i r="3">
      <x v="66"/>
    </i>
    <i r="3">
      <x v="67"/>
    </i>
    <i r="3">
      <x v="68"/>
    </i>
    <i r="3">
      <x v="69"/>
    </i>
    <i r="3">
      <x v="70"/>
    </i>
    <i r="3">
      <x v="71"/>
    </i>
    <i r="2">
      <x v="6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3">
      <x v="81"/>
    </i>
    <i r="3">
      <x v="82"/>
    </i>
    <i r="3">
      <x v="83"/>
    </i>
    <i r="3">
      <x v="84"/>
    </i>
    <i r="1">
      <x v="3"/>
    </i>
    <i r="2">
      <x v="7"/>
    </i>
    <i r="3">
      <x v="85"/>
    </i>
    <i r="3">
      <x v="86"/>
    </i>
    <i r="3">
      <x v="87"/>
    </i>
    <i r="3">
      <x v="88"/>
    </i>
    <i r="3">
      <x v="89"/>
    </i>
    <i r="3">
      <x v="90"/>
    </i>
    <i r="3">
      <x v="91"/>
    </i>
    <i r="3">
      <x v="92"/>
    </i>
    <i r="3">
      <x v="93"/>
    </i>
    <i r="3">
      <x v="94"/>
    </i>
    <i r="3">
      <x v="95"/>
    </i>
    <i r="3">
      <x v="96"/>
    </i>
    <i r="3">
      <x v="97"/>
    </i>
    <i r="3">
      <x v="98"/>
    </i>
    <i r="3">
      <x v="99"/>
    </i>
    <i r="3">
      <x v="100"/>
    </i>
    <i r="3">
      <x v="101"/>
    </i>
    <i r="2">
      <x v="8"/>
    </i>
    <i r="3">
      <x v="102"/>
    </i>
    <i r="3">
      <x v="103"/>
    </i>
    <i r="3">
      <x v="104"/>
    </i>
    <i r="3">
      <x v="105"/>
    </i>
    <i r="3">
      <x v="106"/>
    </i>
    <i r="3">
      <x v="107"/>
    </i>
    <i r="3">
      <x v="108"/>
    </i>
    <i r="3">
      <x v="109"/>
    </i>
    <i r="3">
      <x v="110"/>
    </i>
    <i r="3">
      <x v="111"/>
    </i>
    <i r="3">
      <x v="112"/>
    </i>
    <i r="3">
      <x v="113"/>
    </i>
    <i r="3">
      <x v="114"/>
    </i>
    <i r="3">
      <x v="115"/>
    </i>
    <i r="3">
      <x v="116"/>
    </i>
    <i r="3">
      <x v="117"/>
    </i>
    <i r="3">
      <x v="118"/>
    </i>
    <i r="3">
      <x v="119"/>
    </i>
    <i r="3">
      <x v="120"/>
    </i>
    <i r="2">
      <x v="9"/>
    </i>
    <i r="3">
      <x v="121"/>
    </i>
    <i r="3">
      <x v="122"/>
    </i>
    <i r="3">
      <x v="123"/>
    </i>
    <i r="3">
      <x v="124"/>
    </i>
    <i r="3">
      <x v="125"/>
    </i>
    <i r="3">
      <x v="126"/>
    </i>
    <i r="3">
      <x v="127"/>
    </i>
    <i r="3">
      <x v="128"/>
    </i>
    <i r="3">
      <x v="129"/>
    </i>
    <i r="3">
      <x v="130"/>
    </i>
    <i r="3">
      <x v="131"/>
    </i>
    <i r="3">
      <x v="132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39"/>
    </i>
    <i r="1">
      <x v="4"/>
    </i>
    <i r="2">
      <x v="10"/>
    </i>
    <i r="3">
      <x v="140"/>
    </i>
    <i r="3">
      <x v="141"/>
    </i>
    <i r="3">
      <x v="142"/>
    </i>
    <i r="3">
      <x v="143"/>
    </i>
    <i r="3">
      <x v="144"/>
    </i>
    <i r="3">
      <x v="145"/>
    </i>
    <i r="3">
      <x v="146"/>
    </i>
    <i r="3">
      <x v="147"/>
    </i>
    <i r="3">
      <x v="148"/>
    </i>
    <i r="3">
      <x v="149"/>
    </i>
    <i r="2">
      <x v="11"/>
    </i>
    <i r="3">
      <x v="150"/>
    </i>
    <i r="3">
      <x v="151"/>
    </i>
    <i r="3">
      <x v="152"/>
    </i>
    <i r="3">
      <x v="153"/>
    </i>
    <i r="3">
      <x v="154"/>
    </i>
    <i r="3">
      <x v="155"/>
    </i>
    <i r="3">
      <x v="156"/>
    </i>
    <i r="3">
      <x v="157"/>
    </i>
    <i r="3">
      <x v="158"/>
    </i>
    <i r="3">
      <x v="159"/>
    </i>
    <i r="3">
      <x v="160"/>
    </i>
    <i r="3">
      <x v="161"/>
    </i>
    <i r="3">
      <x v="162"/>
    </i>
    <i r="3">
      <x v="163"/>
    </i>
    <i r="3">
      <x v="164"/>
    </i>
    <i r="3">
      <x v="165"/>
    </i>
    <i r="3">
      <x v="166"/>
    </i>
    <i r="3">
      <x v="167"/>
    </i>
    <i r="3">
      <x v="168"/>
    </i>
    <i r="3">
      <x v="169"/>
    </i>
    <i r="3">
      <x v="170"/>
    </i>
    <i r="3">
      <x v="171"/>
    </i>
    <i r="3">
      <x v="172"/>
    </i>
    <i r="3">
      <x v="173"/>
    </i>
    <i r="2">
      <x v="12"/>
    </i>
    <i r="3">
      <x v="174"/>
    </i>
    <i r="3">
      <x v="175"/>
    </i>
    <i r="3">
      <x v="176"/>
    </i>
    <i r="3">
      <x v="177"/>
    </i>
    <i r="3">
      <x v="178"/>
    </i>
    <i r="3">
      <x v="179"/>
    </i>
    <i r="3">
      <x v="180"/>
    </i>
    <i r="3">
      <x v="181"/>
    </i>
    <i r="3">
      <x v="182"/>
    </i>
    <i r="3">
      <x v="183"/>
    </i>
    <i r="3">
      <x v="184"/>
    </i>
    <i r="3">
      <x v="185"/>
    </i>
    <i>
      <x v="2"/>
    </i>
    <i r="1">
      <x v="1"/>
    </i>
    <i r="2">
      <x v="1"/>
    </i>
    <i r="3">
      <x v="186"/>
    </i>
    <i r="3">
      <x v="187"/>
    </i>
    <i r="3">
      <x v="188"/>
    </i>
    <i r="3">
      <x v="189"/>
    </i>
    <i r="3">
      <x v="190"/>
    </i>
    <i r="3">
      <x v="191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3">
      <x v="202"/>
    </i>
    <i r="3">
      <x v="203"/>
    </i>
    <i r="3">
      <x v="204"/>
    </i>
    <i r="3">
      <x v="205"/>
    </i>
    <i r="2">
      <x v="2"/>
    </i>
    <i r="3">
      <x v="206"/>
    </i>
    <i r="3">
      <x v="207"/>
    </i>
    <i r="3">
      <x v="208"/>
    </i>
    <i r="3">
      <x v="209"/>
    </i>
    <i r="3">
      <x v="210"/>
    </i>
    <i r="3">
      <x v="211"/>
    </i>
    <i r="3">
      <x v="212"/>
    </i>
    <i r="3">
      <x v="213"/>
    </i>
    <i r="3">
      <x v="214"/>
    </i>
    <i r="3">
      <x v="215"/>
    </i>
    <i r="3">
      <x v="216"/>
    </i>
    <i r="3">
      <x v="217"/>
    </i>
    <i r="3">
      <x v="218"/>
    </i>
    <i r="3">
      <x v="219"/>
    </i>
    <i r="3">
      <x v="220"/>
    </i>
    <i r="2">
      <x v="3"/>
    </i>
    <i r="3">
      <x v="221"/>
    </i>
    <i r="3">
      <x v="222"/>
    </i>
    <i r="3">
      <x v="223"/>
    </i>
    <i r="3">
      <x v="224"/>
    </i>
    <i r="3">
      <x v="225"/>
    </i>
    <i r="3">
      <x v="226"/>
    </i>
    <i r="3">
      <x v="227"/>
    </i>
    <i r="3">
      <x v="228"/>
    </i>
    <i r="3">
      <x v="229"/>
    </i>
    <i r="3">
      <x v="230"/>
    </i>
    <i r="3">
      <x v="231"/>
    </i>
    <i r="3">
      <x v="232"/>
    </i>
    <i r="3">
      <x v="233"/>
    </i>
    <i r="3">
      <x v="234"/>
    </i>
    <i r="3">
      <x v="235"/>
    </i>
    <i r="3">
      <x v="236"/>
    </i>
    <i r="3">
      <x v="237"/>
    </i>
    <i r="3">
      <x v="238"/>
    </i>
    <i r="3">
      <x v="239"/>
    </i>
    <i r="3">
      <x v="240"/>
    </i>
    <i r="1">
      <x v="2"/>
    </i>
    <i r="2">
      <x v="4"/>
    </i>
    <i r="3">
      <x v="241"/>
    </i>
    <i r="3">
      <x v="242"/>
    </i>
    <i r="3">
      <x v="243"/>
    </i>
    <i r="3">
      <x v="244"/>
    </i>
    <i r="3">
      <x v="245"/>
    </i>
    <i r="3">
      <x v="246"/>
    </i>
    <i r="3">
      <x v="247"/>
    </i>
    <i r="3">
      <x v="248"/>
    </i>
    <i r="3">
      <x v="249"/>
    </i>
    <i r="3">
      <x v="250"/>
    </i>
    <i r="3">
      <x v="251"/>
    </i>
    <i r="3">
      <x v="252"/>
    </i>
    <i r="3">
      <x v="253"/>
    </i>
    <i r="3">
      <x v="254"/>
    </i>
    <i r="3">
      <x v="255"/>
    </i>
    <i r="3">
      <x v="256"/>
    </i>
    <i r="2">
      <x v="5"/>
    </i>
    <i r="3">
      <x v="257"/>
    </i>
    <i r="3">
      <x v="258"/>
    </i>
    <i r="3">
      <x v="259"/>
    </i>
    <i r="3">
      <x v="260"/>
    </i>
    <i r="3">
      <x v="261"/>
    </i>
    <i r="3">
      <x v="262"/>
    </i>
    <i r="3">
      <x v="263"/>
    </i>
    <i r="3">
      <x v="264"/>
    </i>
    <i r="3">
      <x v="265"/>
    </i>
    <i r="3">
      <x v="266"/>
    </i>
    <i r="3">
      <x v="267"/>
    </i>
    <i r="3">
      <x v="268"/>
    </i>
    <i r="3">
      <x v="269"/>
    </i>
    <i r="3">
      <x v="270"/>
    </i>
    <i r="3">
      <x v="271"/>
    </i>
    <i r="3">
      <x v="272"/>
    </i>
    <i r="3">
      <x v="273"/>
    </i>
    <i r="3">
      <x v="274"/>
    </i>
    <i r="2">
      <x v="6"/>
    </i>
    <i r="3">
      <x v="275"/>
    </i>
    <i r="3">
      <x v="276"/>
    </i>
    <i r="3">
      <x v="277"/>
    </i>
    <i r="3">
      <x v="278"/>
    </i>
    <i r="3">
      <x v="279"/>
    </i>
    <i r="3">
      <x v="280"/>
    </i>
    <i r="3">
      <x v="281"/>
    </i>
    <i r="3">
      <x v="282"/>
    </i>
    <i r="3">
      <x v="283"/>
    </i>
    <i r="3">
      <x v="284"/>
    </i>
    <i r="3">
      <x v="285"/>
    </i>
    <i r="3">
      <x v="286"/>
    </i>
    <i r="3">
      <x v="287"/>
    </i>
    <i r="3">
      <x v="288"/>
    </i>
    <i r="3">
      <x v="289"/>
    </i>
    <i r="3">
      <x v="290"/>
    </i>
    <i r="1">
      <x v="3"/>
    </i>
    <i r="2">
      <x v="7"/>
    </i>
    <i r="3">
      <x v="291"/>
    </i>
    <i r="3">
      <x v="292"/>
    </i>
    <i r="3">
      <x v="293"/>
    </i>
    <i r="3">
      <x v="294"/>
    </i>
    <i r="3">
      <x v="295"/>
    </i>
    <i r="3">
      <x v="296"/>
    </i>
    <i r="3">
      <x v="297"/>
    </i>
    <i r="3">
      <x v="298"/>
    </i>
    <i r="3">
      <x v="299"/>
    </i>
    <i r="3">
      <x v="300"/>
    </i>
    <i r="3">
      <x v="301"/>
    </i>
    <i r="3">
      <x v="302"/>
    </i>
    <i r="3">
      <x v="303"/>
    </i>
    <i r="3">
      <x v="304"/>
    </i>
    <i r="3">
      <x v="305"/>
    </i>
    <i r="3">
      <x v="306"/>
    </i>
    <i r="3">
      <x v="307"/>
    </i>
    <i r="3">
      <x v="308"/>
    </i>
    <i r="2">
      <x v="8"/>
    </i>
    <i r="3">
      <x v="309"/>
    </i>
    <i r="3">
      <x v="310"/>
    </i>
    <i r="3">
      <x v="311"/>
    </i>
    <i r="3">
      <x v="312"/>
    </i>
    <i r="3">
      <x v="313"/>
    </i>
    <i r="3">
      <x v="314"/>
    </i>
    <i r="3">
      <x v="315"/>
    </i>
    <i r="3">
      <x v="316"/>
    </i>
    <i r="3">
      <x v="317"/>
    </i>
    <i r="3">
      <x v="318"/>
    </i>
    <i r="3">
      <x v="319"/>
    </i>
    <i r="3">
      <x v="320"/>
    </i>
    <i r="3">
      <x v="321"/>
    </i>
    <i r="3">
      <x v="322"/>
    </i>
    <i r="2">
      <x v="9"/>
    </i>
    <i r="3">
      <x v="323"/>
    </i>
    <i t="grand">
      <x/>
    </i>
  </rowItems>
  <colItems count="1">
    <i/>
  </colItems>
  <dataFields count="1">
    <dataField name="Sum of Reven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AA0D0-2F50-4343-A0A0-443ED7AA52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F26" firstHeaderRow="0" firstDataRow="1" firstDataCol="0"/>
  <pivotFields count="19">
    <pivotField dataField="1" showAll="0"/>
    <pivotField showAll="0"/>
    <pivotField numFmtId="164" showAll="0">
      <items count="3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showAll="0"/>
    <pivotField showAll="0"/>
    <pivotField showAll="0"/>
    <pivotField showAll="0"/>
    <pivotField numFmtId="2" showAll="0"/>
    <pivotField dataField="1" showAll="0"/>
    <pivotField showAll="0"/>
    <pivotField dataField="1" showAll="0"/>
    <pivotField dataField="1"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Orders" fld="0" subtotal="count" baseField="0" baseItem="1"/>
    <dataField name="Total Quantity" fld="8" baseField="0" baseItem="1"/>
    <dataField name="Total AdSpendAttributed" fld="11" baseField="0" baseItem="2"/>
    <dataField name="Total Revenue" fld="10" baseField="0" baseItem="3"/>
    <dataField name="Average order value(AOV)" fld="14" baseField="0" baseItem="4" numFmtId="2"/>
    <dataField name="Sum of ROAS" fld="15" baseField="0" baseItem="0"/>
  </dataFields>
  <formats count="1">
    <format dxfId="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5E4CD-8118-4819-9999-C5E1312A5A0B}" name="Table1" displayName="Table1" ref="A1:M451" totalsRowShown="0">
  <autoFilter ref="A1:M451" xr:uid="{8D75E4CD-8118-4819-9999-C5E1312A5A0B}"/>
  <sortState xmlns:xlrd2="http://schemas.microsoft.com/office/spreadsheetml/2017/richdata2" ref="A2:M451">
    <sortCondition ref="C1:C451"/>
  </sortState>
  <tableColumns count="13">
    <tableColumn id="1" xr3:uid="{749E3BEE-5BE9-4E6F-8AFC-5AEB7AC94C4C}" name="OrderID"/>
    <tableColumn id="13" xr3:uid="{C0A221F3-EAF4-4A24-B7FE-6575713C8DC9}" name="Order count" dataDxfId="8">
      <calculatedColumnFormula>COUNTIF($A:$A,A2)</calculatedColumnFormula>
    </tableColumn>
    <tableColumn id="2" xr3:uid="{4A9D6DB3-0383-4584-BFDC-00C867FA441A}" name="OrderDate" dataDxfId="7"/>
    <tableColumn id="3" xr3:uid="{4579D784-2D4A-41C0-87C9-A400645013EE}" name="Region"/>
    <tableColumn id="4" xr3:uid="{F0FD4B09-371B-4317-A8BC-CBB2EB9B2E6B}" name="MarketingChannel"/>
    <tableColumn id="5" xr3:uid="{765DF5B7-731B-4537-AE7D-0BF10163C68F}" name="SalesRep"/>
    <tableColumn id="6" xr3:uid="{0D9301BF-325E-4D52-B870-982B59DB3F3D}" name="Product"/>
    <tableColumn id="7" xr3:uid="{09A2FD18-0FCA-4139-8CEB-44612ADEC132}" name="UnitPrice" dataDxfId="6"/>
    <tableColumn id="8" xr3:uid="{841DF2A0-1A6A-4926-AC66-B354989AA7EC}" name="Quantity"/>
    <tableColumn id="9" xr3:uid="{AB221ACD-9FA1-4630-A283-4EE7D2F28CC0}" name="DiscountPct"/>
    <tableColumn id="10" xr3:uid="{4B25C202-1AAA-49D0-A63C-92C2BA2C5523}" name="Revenue"/>
    <tableColumn id="11" xr3:uid="{1025876E-79DD-429E-8768-E3EC0D11B89F}" name="AdSpendAttributed"/>
    <tableColumn id="12" xr3:uid="{C599354D-EB58-4E2B-91F9-E08ECDE975F3}" name="CustomerTyp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1"/>
  <sheetViews>
    <sheetView tabSelected="1" workbookViewId="0">
      <pane ySplit="1" topLeftCell="A74" activePane="bottomLeft" state="frozen"/>
      <selection pane="bottomLeft" activeCell="D92" sqref="D92"/>
    </sheetView>
  </sheetViews>
  <sheetFormatPr defaultRowHeight="15" x14ac:dyDescent="0.25"/>
  <cols>
    <col min="1" max="1" width="10.5703125" bestFit="1" customWidth="1"/>
    <col min="2" max="2" width="11.7109375" bestFit="1" customWidth="1"/>
    <col min="3" max="3" width="14" customWidth="1"/>
    <col min="4" max="4" width="16" customWidth="1"/>
    <col min="5" max="5" width="13" customWidth="1"/>
    <col min="6" max="6" width="16" customWidth="1"/>
    <col min="7" max="7" width="11" customWidth="1"/>
    <col min="8" max="8" width="10" customWidth="1"/>
    <col min="9" max="9" width="12" customWidth="1"/>
    <col min="10" max="10" width="11" customWidth="1"/>
    <col min="11" max="11" width="20.42578125" bestFit="1" customWidth="1"/>
    <col min="12" max="12" width="1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155</v>
      </c>
      <c r="B2" s="2" t="s">
        <v>493</v>
      </c>
      <c r="C2" s="2" t="s">
        <v>13</v>
      </c>
      <c r="D2" s="2" t="s">
        <v>35</v>
      </c>
      <c r="E2" s="2" t="s">
        <v>39</v>
      </c>
      <c r="F2" s="2" t="s">
        <v>494</v>
      </c>
      <c r="G2" s="2">
        <v>5000</v>
      </c>
      <c r="H2" s="2">
        <v>2</v>
      </c>
      <c r="I2" s="2">
        <v>0.2</v>
      </c>
      <c r="J2" s="2" t="s">
        <v>495</v>
      </c>
      <c r="K2" s="2">
        <v>809.38</v>
      </c>
      <c r="L2" s="2" t="s">
        <v>496</v>
      </c>
    </row>
    <row r="3" spans="1:12" x14ac:dyDescent="0.25">
      <c r="A3" s="2" t="s">
        <v>266</v>
      </c>
      <c r="B3" s="2" t="s">
        <v>497</v>
      </c>
      <c r="C3" s="2" t="s">
        <v>31</v>
      </c>
      <c r="D3" s="2" t="s">
        <v>498</v>
      </c>
      <c r="E3" s="2" t="s">
        <v>21</v>
      </c>
      <c r="F3" s="2" t="s">
        <v>41</v>
      </c>
      <c r="G3" s="2">
        <v>15000</v>
      </c>
      <c r="H3" s="2">
        <v>2</v>
      </c>
      <c r="I3" s="2">
        <v>0</v>
      </c>
      <c r="J3" s="2" t="s">
        <v>499</v>
      </c>
      <c r="K3" s="2">
        <v>499.21</v>
      </c>
      <c r="L3" s="2" t="s">
        <v>500</v>
      </c>
    </row>
    <row r="4" spans="1:12" x14ac:dyDescent="0.25">
      <c r="A4" s="2" t="s">
        <v>278</v>
      </c>
      <c r="B4" s="2" t="s">
        <v>501</v>
      </c>
      <c r="C4" s="2"/>
      <c r="D4" s="2" t="s">
        <v>38</v>
      </c>
      <c r="E4" s="2" t="s">
        <v>21</v>
      </c>
      <c r="F4" s="2" t="s">
        <v>494</v>
      </c>
      <c r="G4" s="2">
        <v>5000</v>
      </c>
      <c r="H4" s="2">
        <v>3</v>
      </c>
      <c r="I4" s="2">
        <v>0.15</v>
      </c>
      <c r="J4" s="2" t="s">
        <v>502</v>
      </c>
      <c r="K4" s="2">
        <v>0</v>
      </c>
      <c r="L4" s="2" t="s">
        <v>496</v>
      </c>
    </row>
    <row r="5" spans="1:12" x14ac:dyDescent="0.25">
      <c r="A5" s="2" t="s">
        <v>282</v>
      </c>
      <c r="B5" s="2" t="s">
        <v>503</v>
      </c>
      <c r="C5" s="2" t="s">
        <v>13</v>
      </c>
      <c r="D5" s="2" t="s">
        <v>38</v>
      </c>
      <c r="E5" s="2" t="s">
        <v>39</v>
      </c>
      <c r="F5" s="2" t="s">
        <v>41</v>
      </c>
      <c r="G5" s="2">
        <v>15000</v>
      </c>
      <c r="H5" s="2">
        <v>1</v>
      </c>
      <c r="I5" s="2">
        <v>0</v>
      </c>
      <c r="J5" s="2" t="s">
        <v>504</v>
      </c>
      <c r="K5" s="2">
        <v>0</v>
      </c>
      <c r="L5" s="2" t="s">
        <v>496</v>
      </c>
    </row>
    <row r="6" spans="1:12" x14ac:dyDescent="0.25">
      <c r="A6" s="2" t="s">
        <v>252</v>
      </c>
      <c r="B6" s="2" t="s">
        <v>505</v>
      </c>
      <c r="C6" s="2" t="s">
        <v>81</v>
      </c>
      <c r="D6" s="2" t="s">
        <v>506</v>
      </c>
      <c r="E6" s="2"/>
      <c r="F6" s="2" t="s">
        <v>43</v>
      </c>
      <c r="G6" s="2">
        <v>65000</v>
      </c>
      <c r="H6" s="2">
        <v>2</v>
      </c>
      <c r="I6" s="2">
        <v>0.1</v>
      </c>
      <c r="J6" s="2" t="s">
        <v>507</v>
      </c>
      <c r="K6" s="2">
        <v>0</v>
      </c>
      <c r="L6" s="2" t="s">
        <v>496</v>
      </c>
    </row>
    <row r="7" spans="1:12" x14ac:dyDescent="0.25">
      <c r="A7" s="2" t="s">
        <v>455</v>
      </c>
      <c r="B7" s="2" t="s">
        <v>508</v>
      </c>
      <c r="C7" s="2" t="s">
        <v>65</v>
      </c>
      <c r="D7" s="2" t="s">
        <v>35</v>
      </c>
      <c r="E7" s="2" t="s">
        <v>15</v>
      </c>
      <c r="F7" s="2" t="s">
        <v>494</v>
      </c>
      <c r="G7" s="2">
        <v>5000</v>
      </c>
      <c r="H7" s="2">
        <v>1</v>
      </c>
      <c r="I7" s="2">
        <v>0.15</v>
      </c>
      <c r="J7" s="2" t="s">
        <v>509</v>
      </c>
      <c r="K7" s="2">
        <v>1709.19</v>
      </c>
      <c r="L7" s="2" t="s">
        <v>17</v>
      </c>
    </row>
    <row r="8" spans="1:12" x14ac:dyDescent="0.25">
      <c r="A8" s="2" t="s">
        <v>202</v>
      </c>
      <c r="B8" s="2" t="s">
        <v>510</v>
      </c>
      <c r="C8" s="2" t="s">
        <v>511</v>
      </c>
      <c r="D8" s="2" t="s">
        <v>506</v>
      </c>
      <c r="E8" s="2" t="s">
        <v>39</v>
      </c>
      <c r="F8" s="2" t="s">
        <v>43</v>
      </c>
      <c r="G8" s="2">
        <v>65000</v>
      </c>
      <c r="H8" s="2">
        <v>1</v>
      </c>
      <c r="I8" s="2">
        <v>0.2</v>
      </c>
      <c r="J8" s="2" t="s">
        <v>512</v>
      </c>
      <c r="K8" s="2">
        <v>0</v>
      </c>
      <c r="L8" s="2" t="s">
        <v>496</v>
      </c>
    </row>
    <row r="9" spans="1:12" x14ac:dyDescent="0.25">
      <c r="A9" s="2" t="s">
        <v>479</v>
      </c>
      <c r="B9" s="2" t="s">
        <v>513</v>
      </c>
      <c r="C9" s="2" t="s">
        <v>13</v>
      </c>
      <c r="D9" s="2" t="s">
        <v>514</v>
      </c>
      <c r="E9" s="2" t="s">
        <v>15</v>
      </c>
      <c r="F9" s="2" t="s">
        <v>41</v>
      </c>
      <c r="G9" s="2">
        <v>15000</v>
      </c>
      <c r="H9" s="2">
        <v>2</v>
      </c>
      <c r="I9" s="2">
        <v>0.2</v>
      </c>
      <c r="J9" s="2" t="s">
        <v>515</v>
      </c>
      <c r="K9" s="2">
        <v>1521.32</v>
      </c>
      <c r="L9" s="2" t="s">
        <v>17</v>
      </c>
    </row>
    <row r="10" spans="1:12" x14ac:dyDescent="0.25">
      <c r="A10" s="2" t="s">
        <v>487</v>
      </c>
      <c r="B10" s="2" t="s">
        <v>516</v>
      </c>
      <c r="C10" s="2" t="s">
        <v>13</v>
      </c>
      <c r="D10" s="2" t="s">
        <v>35</v>
      </c>
      <c r="E10" s="2" t="s">
        <v>39</v>
      </c>
      <c r="F10" s="2" t="s">
        <v>41</v>
      </c>
      <c r="G10" s="2">
        <v>15000</v>
      </c>
      <c r="H10" s="2">
        <v>2</v>
      </c>
      <c r="I10" s="2">
        <v>0</v>
      </c>
      <c r="J10" s="2" t="s">
        <v>517</v>
      </c>
      <c r="K10" s="2">
        <v>892.07</v>
      </c>
      <c r="L10" s="2" t="s">
        <v>17</v>
      </c>
    </row>
    <row r="11" spans="1:12" x14ac:dyDescent="0.25">
      <c r="A11" s="2" t="s">
        <v>487</v>
      </c>
      <c r="B11" s="2" t="s">
        <v>516</v>
      </c>
      <c r="C11" s="2" t="s">
        <v>13</v>
      </c>
      <c r="D11" s="2" t="s">
        <v>35</v>
      </c>
      <c r="E11" s="2" t="s">
        <v>39</v>
      </c>
      <c r="F11" s="2" t="s">
        <v>41</v>
      </c>
      <c r="G11" s="2">
        <v>15000</v>
      </c>
      <c r="H11" s="2">
        <v>3</v>
      </c>
      <c r="I11" s="2">
        <v>0</v>
      </c>
      <c r="J11" s="2" t="s">
        <v>517</v>
      </c>
      <c r="K11" s="2">
        <v>892.07</v>
      </c>
      <c r="L11" s="2" t="s">
        <v>17</v>
      </c>
    </row>
    <row r="12" spans="1:12" x14ac:dyDescent="0.25">
      <c r="A12" s="2" t="s">
        <v>121</v>
      </c>
      <c r="B12" s="2" t="s">
        <v>518</v>
      </c>
      <c r="C12" s="2" t="s">
        <v>19</v>
      </c>
      <c r="D12" s="2" t="s">
        <v>35</v>
      </c>
      <c r="E12" s="2" t="s">
        <v>39</v>
      </c>
      <c r="F12" s="2" t="s">
        <v>494</v>
      </c>
      <c r="G12" s="2">
        <v>5000</v>
      </c>
      <c r="H12" s="2">
        <v>2</v>
      </c>
      <c r="I12" s="2">
        <v>0</v>
      </c>
      <c r="J12" s="2" t="s">
        <v>519</v>
      </c>
      <c r="K12" s="2">
        <v>2769.09</v>
      </c>
      <c r="L12" s="2" t="s">
        <v>17</v>
      </c>
    </row>
    <row r="13" spans="1:12" x14ac:dyDescent="0.25">
      <c r="A13" s="2" t="s">
        <v>203</v>
      </c>
      <c r="B13" s="2" t="s">
        <v>520</v>
      </c>
      <c r="C13" s="2" t="s">
        <v>521</v>
      </c>
      <c r="D13" s="2" t="s">
        <v>506</v>
      </c>
      <c r="E13" s="2" t="s">
        <v>522</v>
      </c>
      <c r="F13" s="2" t="s">
        <v>43</v>
      </c>
      <c r="G13" s="2">
        <v>65000</v>
      </c>
      <c r="H13" s="2">
        <v>1</v>
      </c>
      <c r="I13" s="2">
        <v>0</v>
      </c>
      <c r="J13" s="2" t="s">
        <v>523</v>
      </c>
      <c r="K13" s="2">
        <v>0</v>
      </c>
      <c r="L13" s="2" t="s">
        <v>17</v>
      </c>
    </row>
    <row r="14" spans="1:12" x14ac:dyDescent="0.25">
      <c r="A14" s="2" t="s">
        <v>244</v>
      </c>
      <c r="B14" s="2" t="s">
        <v>524</v>
      </c>
      <c r="C14" s="2"/>
      <c r="D14" s="2" t="s">
        <v>32</v>
      </c>
      <c r="E14" s="2" t="s">
        <v>525</v>
      </c>
      <c r="F14" s="2" t="s">
        <v>41</v>
      </c>
      <c r="G14" s="2">
        <v>15000</v>
      </c>
      <c r="H14" s="2">
        <v>1</v>
      </c>
      <c r="I14" s="2">
        <v>0</v>
      </c>
      <c r="J14" s="2" t="s">
        <v>526</v>
      </c>
      <c r="K14" s="2">
        <v>2830.17</v>
      </c>
      <c r="L14" s="2" t="s">
        <v>33</v>
      </c>
    </row>
    <row r="15" spans="1:12" x14ac:dyDescent="0.25">
      <c r="A15" s="2" t="s">
        <v>188</v>
      </c>
      <c r="B15" s="2" t="s">
        <v>527</v>
      </c>
      <c r="C15" s="2" t="s">
        <v>13</v>
      </c>
      <c r="D15" s="2" t="s">
        <v>35</v>
      </c>
      <c r="E15" s="2" t="s">
        <v>21</v>
      </c>
      <c r="F15" s="2" t="s">
        <v>494</v>
      </c>
      <c r="G15" s="2">
        <v>5000</v>
      </c>
      <c r="H15" s="2">
        <v>2</v>
      </c>
      <c r="I15" s="2">
        <v>0</v>
      </c>
      <c r="J15" s="2" t="s">
        <v>519</v>
      </c>
      <c r="K15" s="2">
        <v>1583.46</v>
      </c>
      <c r="L15" s="2" t="s">
        <v>33</v>
      </c>
    </row>
    <row r="16" spans="1:12" x14ac:dyDescent="0.25">
      <c r="A16" s="2" t="s">
        <v>377</v>
      </c>
      <c r="B16" s="2" t="s">
        <v>528</v>
      </c>
      <c r="C16" s="2" t="s">
        <v>65</v>
      </c>
      <c r="D16" s="2" t="s">
        <v>28</v>
      </c>
      <c r="E16" s="2" t="s">
        <v>49</v>
      </c>
      <c r="F16" s="2" t="s">
        <v>494</v>
      </c>
      <c r="G16" s="2">
        <v>5000</v>
      </c>
      <c r="H16" s="2">
        <v>1</v>
      </c>
      <c r="I16" s="2">
        <v>0</v>
      </c>
      <c r="J16" s="2" t="s">
        <v>529</v>
      </c>
      <c r="K16" s="2">
        <v>0</v>
      </c>
      <c r="L16" s="2" t="s">
        <v>496</v>
      </c>
    </row>
    <row r="17" spans="1:12" x14ac:dyDescent="0.25">
      <c r="A17" s="2" t="s">
        <v>421</v>
      </c>
      <c r="B17" s="2" t="s">
        <v>530</v>
      </c>
      <c r="C17" s="2" t="s">
        <v>13</v>
      </c>
      <c r="D17" s="2" t="s">
        <v>38</v>
      </c>
      <c r="E17" s="2" t="s">
        <v>15</v>
      </c>
      <c r="F17" s="2" t="s">
        <v>22</v>
      </c>
      <c r="G17" s="2">
        <v>35000</v>
      </c>
      <c r="H17" s="2">
        <v>1</v>
      </c>
      <c r="I17" s="2">
        <v>0.05</v>
      </c>
      <c r="J17" s="2" t="s">
        <v>531</v>
      </c>
      <c r="K17" s="2">
        <v>0</v>
      </c>
      <c r="L17" s="2" t="s">
        <v>17</v>
      </c>
    </row>
    <row r="18" spans="1:12" x14ac:dyDescent="0.25">
      <c r="A18" s="2" t="s">
        <v>224</v>
      </c>
      <c r="B18" s="2" t="s">
        <v>532</v>
      </c>
      <c r="C18" s="2" t="s">
        <v>31</v>
      </c>
      <c r="D18" s="2" t="s">
        <v>506</v>
      </c>
      <c r="E18" s="2" t="s">
        <v>36</v>
      </c>
      <c r="F18" s="2" t="s">
        <v>494</v>
      </c>
      <c r="G18" s="2">
        <v>5000</v>
      </c>
      <c r="H18" s="2">
        <v>1</v>
      </c>
      <c r="I18" s="2">
        <v>0</v>
      </c>
      <c r="J18" s="2" t="s">
        <v>529</v>
      </c>
      <c r="K18" s="2">
        <v>0</v>
      </c>
      <c r="L18" s="2" t="s">
        <v>17</v>
      </c>
    </row>
    <row r="19" spans="1:12" x14ac:dyDescent="0.25">
      <c r="A19" s="2" t="s">
        <v>423</v>
      </c>
      <c r="B19" s="2" t="s">
        <v>516</v>
      </c>
      <c r="C19" s="2" t="s">
        <v>65</v>
      </c>
      <c r="D19" s="2" t="s">
        <v>514</v>
      </c>
      <c r="E19" s="2" t="s">
        <v>39</v>
      </c>
      <c r="F19" s="2" t="s">
        <v>41</v>
      </c>
      <c r="G19" s="2">
        <v>15000</v>
      </c>
      <c r="H19" s="2">
        <v>1</v>
      </c>
      <c r="I19" s="2">
        <v>0</v>
      </c>
      <c r="J19" s="2" t="s">
        <v>526</v>
      </c>
      <c r="K19" s="2">
        <v>251.18</v>
      </c>
      <c r="L19" s="2" t="s">
        <v>17</v>
      </c>
    </row>
    <row r="20" spans="1:12" x14ac:dyDescent="0.25">
      <c r="A20" s="2" t="s">
        <v>245</v>
      </c>
      <c r="B20" s="2" t="s">
        <v>533</v>
      </c>
      <c r="C20" s="2" t="s">
        <v>24</v>
      </c>
      <c r="D20" s="2" t="s">
        <v>534</v>
      </c>
      <c r="E20" s="2" t="s">
        <v>21</v>
      </c>
      <c r="F20" s="2" t="s">
        <v>22</v>
      </c>
      <c r="G20" s="2">
        <v>35000</v>
      </c>
      <c r="H20" s="2">
        <v>2</v>
      </c>
      <c r="I20" s="2">
        <v>0.05</v>
      </c>
      <c r="J20" s="2" t="s">
        <v>535</v>
      </c>
      <c r="K20" s="2">
        <v>3059.53</v>
      </c>
      <c r="L20" s="2" t="s">
        <v>33</v>
      </c>
    </row>
    <row r="21" spans="1:12" x14ac:dyDescent="0.25">
      <c r="A21" s="2" t="s">
        <v>148</v>
      </c>
      <c r="B21" s="2" t="s">
        <v>536</v>
      </c>
      <c r="C21" s="2" t="s">
        <v>81</v>
      </c>
      <c r="D21" s="2" t="s">
        <v>32</v>
      </c>
      <c r="E21" s="2" t="s">
        <v>39</v>
      </c>
      <c r="F21" s="2" t="s">
        <v>22</v>
      </c>
      <c r="G21" s="2">
        <v>35000</v>
      </c>
      <c r="H21" s="2">
        <v>2</v>
      </c>
      <c r="I21" s="2">
        <v>0</v>
      </c>
      <c r="J21" s="2" t="s">
        <v>537</v>
      </c>
      <c r="K21" s="2">
        <v>722.97</v>
      </c>
      <c r="L21" s="2" t="s">
        <v>500</v>
      </c>
    </row>
    <row r="22" spans="1:12" x14ac:dyDescent="0.25">
      <c r="A22" s="2" t="s">
        <v>326</v>
      </c>
      <c r="B22" s="2" t="s">
        <v>538</v>
      </c>
      <c r="C22" s="2" t="s">
        <v>19</v>
      </c>
      <c r="D22" s="2" t="s">
        <v>506</v>
      </c>
      <c r="E22" s="2" t="s">
        <v>15</v>
      </c>
      <c r="F22" s="2" t="s">
        <v>494</v>
      </c>
      <c r="G22" s="2">
        <v>5000</v>
      </c>
      <c r="H22" s="2">
        <v>2</v>
      </c>
      <c r="I22" s="2">
        <v>0.1</v>
      </c>
      <c r="J22" s="2" t="s">
        <v>539</v>
      </c>
      <c r="K22" s="2">
        <v>0</v>
      </c>
      <c r="L22" s="2" t="s">
        <v>33</v>
      </c>
    </row>
    <row r="23" spans="1:12" x14ac:dyDescent="0.25">
      <c r="A23" s="2" t="s">
        <v>306</v>
      </c>
      <c r="B23" s="2" t="s">
        <v>540</v>
      </c>
      <c r="C23" s="2" t="s">
        <v>13</v>
      </c>
      <c r="D23" s="2" t="s">
        <v>32</v>
      </c>
      <c r="E23" s="2" t="s">
        <v>49</v>
      </c>
      <c r="F23" s="2" t="s">
        <v>41</v>
      </c>
      <c r="G23" s="2">
        <v>15000</v>
      </c>
      <c r="H23" s="2">
        <v>1</v>
      </c>
      <c r="I23" s="2">
        <v>0.1</v>
      </c>
      <c r="J23" s="2" t="s">
        <v>541</v>
      </c>
      <c r="K23" s="2">
        <v>986.74</v>
      </c>
      <c r="L23" s="2" t="s">
        <v>500</v>
      </c>
    </row>
    <row r="24" spans="1:12" x14ac:dyDescent="0.25">
      <c r="A24" s="2" t="s">
        <v>98</v>
      </c>
      <c r="B24" s="2" t="s">
        <v>542</v>
      </c>
      <c r="C24" s="2" t="s">
        <v>13</v>
      </c>
      <c r="D24" s="2" t="s">
        <v>32</v>
      </c>
      <c r="E24" s="2" t="s">
        <v>49</v>
      </c>
      <c r="F24" s="2" t="s">
        <v>494</v>
      </c>
      <c r="G24" s="2">
        <v>5000</v>
      </c>
      <c r="H24" s="2">
        <v>2</v>
      </c>
      <c r="I24" s="2">
        <v>0.05</v>
      </c>
      <c r="J24" s="2" t="s">
        <v>543</v>
      </c>
      <c r="K24" s="2">
        <v>1916.24</v>
      </c>
      <c r="L24" s="2" t="s">
        <v>500</v>
      </c>
    </row>
    <row r="25" spans="1:12" x14ac:dyDescent="0.25">
      <c r="A25" s="2" t="s">
        <v>371</v>
      </c>
      <c r="B25" s="2" t="s">
        <v>544</v>
      </c>
      <c r="C25" s="2" t="s">
        <v>13</v>
      </c>
      <c r="D25" s="2" t="s">
        <v>20</v>
      </c>
      <c r="E25" s="2" t="s">
        <v>15</v>
      </c>
      <c r="F25" s="2" t="s">
        <v>22</v>
      </c>
      <c r="G25" s="2">
        <v>35000</v>
      </c>
      <c r="H25" s="2">
        <v>2</v>
      </c>
      <c r="I25" s="2">
        <v>0.1</v>
      </c>
      <c r="J25" s="2" t="s">
        <v>545</v>
      </c>
      <c r="K25" s="2">
        <v>1124.72</v>
      </c>
      <c r="L25" s="2" t="s">
        <v>33</v>
      </c>
    </row>
    <row r="26" spans="1:12" x14ac:dyDescent="0.25">
      <c r="A26" s="2" t="s">
        <v>281</v>
      </c>
      <c r="B26" s="2" t="s">
        <v>546</v>
      </c>
      <c r="C26" s="2" t="s">
        <v>521</v>
      </c>
      <c r="D26" s="2" t="s">
        <v>534</v>
      </c>
      <c r="E26" s="2" t="s">
        <v>39</v>
      </c>
      <c r="F26" s="2" t="s">
        <v>43</v>
      </c>
      <c r="G26" s="2">
        <v>65000</v>
      </c>
      <c r="H26" s="2">
        <v>2</v>
      </c>
      <c r="I26" s="2">
        <v>0.05</v>
      </c>
      <c r="J26" s="2" t="s">
        <v>547</v>
      </c>
      <c r="K26" s="2">
        <v>399.5</v>
      </c>
      <c r="L26" s="2" t="s">
        <v>33</v>
      </c>
    </row>
    <row r="27" spans="1:12" x14ac:dyDescent="0.25">
      <c r="A27" s="2" t="s">
        <v>197</v>
      </c>
      <c r="B27" s="2" t="s">
        <v>548</v>
      </c>
      <c r="C27" s="2" t="s">
        <v>521</v>
      </c>
      <c r="D27" s="2" t="s">
        <v>28</v>
      </c>
      <c r="E27" s="2" t="s">
        <v>15</v>
      </c>
      <c r="F27" s="2" t="s">
        <v>549</v>
      </c>
      <c r="G27" s="2">
        <v>8000</v>
      </c>
      <c r="H27" s="2">
        <v>2</v>
      </c>
      <c r="I27" s="2">
        <v>0</v>
      </c>
      <c r="J27" s="2" t="s">
        <v>550</v>
      </c>
      <c r="K27" s="2">
        <v>0</v>
      </c>
      <c r="L27" s="2" t="s">
        <v>17</v>
      </c>
    </row>
    <row r="28" spans="1:12" x14ac:dyDescent="0.25">
      <c r="A28" s="2" t="s">
        <v>235</v>
      </c>
      <c r="B28" s="2" t="s">
        <v>551</v>
      </c>
      <c r="C28" s="2" t="s">
        <v>24</v>
      </c>
      <c r="D28" s="2" t="s">
        <v>32</v>
      </c>
      <c r="E28" s="2" t="s">
        <v>21</v>
      </c>
      <c r="F28" s="2" t="s">
        <v>43</v>
      </c>
      <c r="G28" s="2">
        <v>65000</v>
      </c>
      <c r="H28" s="2">
        <v>3</v>
      </c>
      <c r="I28" s="2">
        <v>0.15</v>
      </c>
      <c r="J28" s="2" t="s">
        <v>552</v>
      </c>
      <c r="K28" s="2">
        <v>2146.59</v>
      </c>
      <c r="L28" s="2" t="s">
        <v>17</v>
      </c>
    </row>
    <row r="29" spans="1:12" x14ac:dyDescent="0.25">
      <c r="A29" s="2" t="s">
        <v>181</v>
      </c>
      <c r="B29" s="2" t="s">
        <v>553</v>
      </c>
      <c r="C29" s="2" t="s">
        <v>13</v>
      </c>
      <c r="D29" s="2" t="s">
        <v>38</v>
      </c>
      <c r="E29" s="2" t="s">
        <v>15</v>
      </c>
      <c r="F29" s="2" t="s">
        <v>43</v>
      </c>
      <c r="G29" s="2">
        <v>65000</v>
      </c>
      <c r="H29" s="2">
        <v>1</v>
      </c>
      <c r="I29" s="2">
        <v>0</v>
      </c>
      <c r="J29" s="2" t="s">
        <v>523</v>
      </c>
      <c r="K29" s="2">
        <v>0</v>
      </c>
      <c r="L29" s="2" t="s">
        <v>33</v>
      </c>
    </row>
    <row r="30" spans="1:12" x14ac:dyDescent="0.25">
      <c r="A30" s="2" t="s">
        <v>351</v>
      </c>
      <c r="B30" s="2" t="s">
        <v>554</v>
      </c>
      <c r="C30" s="2" t="s">
        <v>65</v>
      </c>
      <c r="D30" s="2" t="s">
        <v>35</v>
      </c>
      <c r="E30" s="2" t="s">
        <v>15</v>
      </c>
      <c r="F30" s="2" t="s">
        <v>43</v>
      </c>
      <c r="G30" s="2">
        <v>65000</v>
      </c>
      <c r="H30" s="2">
        <v>1</v>
      </c>
      <c r="I30" s="2">
        <v>0</v>
      </c>
      <c r="J30" s="2" t="s">
        <v>523</v>
      </c>
      <c r="K30" s="2">
        <v>1695.2</v>
      </c>
      <c r="L30" s="2" t="s">
        <v>17</v>
      </c>
    </row>
    <row r="31" spans="1:12" x14ac:dyDescent="0.25">
      <c r="A31" s="2" t="s">
        <v>351</v>
      </c>
      <c r="B31" s="2" t="s">
        <v>554</v>
      </c>
      <c r="C31" s="2" t="s">
        <v>65</v>
      </c>
      <c r="D31" s="2" t="s">
        <v>35</v>
      </c>
      <c r="E31" s="2" t="s">
        <v>15</v>
      </c>
      <c r="F31" s="2" t="s">
        <v>43</v>
      </c>
      <c r="G31" s="2">
        <v>65000</v>
      </c>
      <c r="H31" s="2">
        <v>1</v>
      </c>
      <c r="I31" s="2">
        <v>0</v>
      </c>
      <c r="J31" s="2" t="s">
        <v>523</v>
      </c>
      <c r="K31" s="2">
        <v>1695.2</v>
      </c>
      <c r="L31" s="2" t="s">
        <v>17</v>
      </c>
    </row>
    <row r="32" spans="1:12" x14ac:dyDescent="0.25">
      <c r="A32" s="2" t="s">
        <v>287</v>
      </c>
      <c r="B32" s="2" t="s">
        <v>555</v>
      </c>
      <c r="C32" s="2" t="s">
        <v>13</v>
      </c>
      <c r="D32" s="2" t="s">
        <v>506</v>
      </c>
      <c r="E32" s="2" t="s">
        <v>525</v>
      </c>
      <c r="F32" s="2" t="s">
        <v>43</v>
      </c>
      <c r="G32" s="2">
        <v>65000</v>
      </c>
      <c r="H32" s="2">
        <v>1</v>
      </c>
      <c r="I32" s="2">
        <v>0</v>
      </c>
      <c r="J32" s="2" t="s">
        <v>523</v>
      </c>
      <c r="K32" s="2">
        <v>0</v>
      </c>
      <c r="L32" s="2" t="s">
        <v>17</v>
      </c>
    </row>
    <row r="33" spans="1:12" x14ac:dyDescent="0.25">
      <c r="A33" s="2" t="s">
        <v>389</v>
      </c>
      <c r="B33" s="2" t="s">
        <v>556</v>
      </c>
      <c r="C33" s="2"/>
      <c r="D33" s="2" t="s">
        <v>498</v>
      </c>
      <c r="E33" s="2" t="s">
        <v>522</v>
      </c>
      <c r="F33" s="2" t="s">
        <v>494</v>
      </c>
      <c r="G33" s="2">
        <v>5000</v>
      </c>
      <c r="H33" s="2">
        <v>2</v>
      </c>
      <c r="I33" s="2">
        <v>0</v>
      </c>
      <c r="J33" s="2" t="s">
        <v>519</v>
      </c>
      <c r="K33" s="2">
        <v>1451.28</v>
      </c>
      <c r="L33" s="2" t="s">
        <v>17</v>
      </c>
    </row>
    <row r="34" spans="1:12" x14ac:dyDescent="0.25">
      <c r="A34" s="2" t="s">
        <v>468</v>
      </c>
      <c r="B34" s="2" t="s">
        <v>557</v>
      </c>
      <c r="C34" s="2" t="s">
        <v>65</v>
      </c>
      <c r="D34" s="2" t="s">
        <v>534</v>
      </c>
      <c r="E34" s="2" t="s">
        <v>49</v>
      </c>
      <c r="F34" s="2" t="s">
        <v>41</v>
      </c>
      <c r="G34" s="2">
        <v>15000</v>
      </c>
      <c r="H34" s="2">
        <v>3</v>
      </c>
      <c r="I34" s="2">
        <v>0</v>
      </c>
      <c r="J34" s="2" t="s">
        <v>517</v>
      </c>
      <c r="K34" s="2">
        <v>3103.31</v>
      </c>
      <c r="L34" s="2" t="s">
        <v>500</v>
      </c>
    </row>
    <row r="35" spans="1:12" x14ac:dyDescent="0.25">
      <c r="A35" s="2" t="s">
        <v>410</v>
      </c>
      <c r="B35" s="2" t="s">
        <v>558</v>
      </c>
      <c r="C35" s="2" t="s">
        <v>31</v>
      </c>
      <c r="D35" s="2" t="s">
        <v>32</v>
      </c>
      <c r="E35" s="2" t="s">
        <v>525</v>
      </c>
      <c r="F35" s="2" t="s">
        <v>549</v>
      </c>
      <c r="G35" s="2">
        <v>8000</v>
      </c>
      <c r="H35" s="2">
        <v>2</v>
      </c>
      <c r="I35" s="2">
        <v>0.05</v>
      </c>
      <c r="J35" s="2" t="s">
        <v>504</v>
      </c>
      <c r="K35" s="2">
        <v>2966.62</v>
      </c>
      <c r="L35" s="2" t="s">
        <v>17</v>
      </c>
    </row>
    <row r="36" spans="1:12" x14ac:dyDescent="0.25">
      <c r="A36" s="2" t="s">
        <v>409</v>
      </c>
      <c r="B36" s="2" t="s">
        <v>559</v>
      </c>
      <c r="C36" s="2" t="s">
        <v>521</v>
      </c>
      <c r="D36" s="2" t="s">
        <v>506</v>
      </c>
      <c r="E36" s="2" t="s">
        <v>525</v>
      </c>
      <c r="F36" s="2" t="s">
        <v>43</v>
      </c>
      <c r="G36" s="2">
        <v>65000</v>
      </c>
      <c r="H36" s="2">
        <v>2</v>
      </c>
      <c r="I36" s="2">
        <v>0</v>
      </c>
      <c r="J36" s="2" t="s">
        <v>560</v>
      </c>
      <c r="K36" s="2">
        <v>0</v>
      </c>
      <c r="L36" s="2" t="s">
        <v>17</v>
      </c>
    </row>
    <row r="37" spans="1:12" x14ac:dyDescent="0.25">
      <c r="A37" s="2" t="s">
        <v>163</v>
      </c>
      <c r="B37" s="2" t="s">
        <v>561</v>
      </c>
      <c r="C37" s="2" t="s">
        <v>65</v>
      </c>
      <c r="D37" s="2" t="s">
        <v>506</v>
      </c>
      <c r="E37" s="2" t="s">
        <v>525</v>
      </c>
      <c r="F37" s="2" t="s">
        <v>494</v>
      </c>
      <c r="G37" s="2">
        <v>5000</v>
      </c>
      <c r="H37" s="2">
        <v>2</v>
      </c>
      <c r="I37" s="2">
        <v>0.15</v>
      </c>
      <c r="J37" s="2" t="s">
        <v>562</v>
      </c>
      <c r="K37" s="2">
        <v>0</v>
      </c>
      <c r="L37" s="2" t="s">
        <v>17</v>
      </c>
    </row>
    <row r="38" spans="1:12" x14ac:dyDescent="0.25">
      <c r="A38" s="2" t="s">
        <v>89</v>
      </c>
      <c r="B38" s="2" t="s">
        <v>563</v>
      </c>
      <c r="C38" s="2" t="s">
        <v>65</v>
      </c>
      <c r="D38" s="2" t="s">
        <v>534</v>
      </c>
      <c r="E38" s="2" t="s">
        <v>39</v>
      </c>
      <c r="F38" s="2" t="s">
        <v>43</v>
      </c>
      <c r="G38" s="2">
        <v>65000</v>
      </c>
      <c r="H38" s="2">
        <v>1</v>
      </c>
      <c r="I38" s="2">
        <v>0.15</v>
      </c>
      <c r="J38" s="2" t="s">
        <v>564</v>
      </c>
      <c r="K38" s="2">
        <v>1910.7</v>
      </c>
      <c r="L38" s="2" t="s">
        <v>17</v>
      </c>
    </row>
    <row r="39" spans="1:12" x14ac:dyDescent="0.25">
      <c r="A39" s="2" t="s">
        <v>383</v>
      </c>
      <c r="B39" s="2" t="s">
        <v>565</v>
      </c>
      <c r="C39" s="2" t="s">
        <v>19</v>
      </c>
      <c r="D39" s="2" t="s">
        <v>498</v>
      </c>
      <c r="E39" s="2" t="s">
        <v>49</v>
      </c>
      <c r="F39" s="2" t="s">
        <v>22</v>
      </c>
      <c r="G39" s="2">
        <v>35000</v>
      </c>
      <c r="H39" s="2">
        <v>1</v>
      </c>
      <c r="I39" s="2">
        <v>0.05</v>
      </c>
      <c r="J39" s="2" t="s">
        <v>531</v>
      </c>
      <c r="K39" s="2">
        <v>855.07</v>
      </c>
      <c r="L39" s="2" t="s">
        <v>33</v>
      </c>
    </row>
    <row r="40" spans="1:12" x14ac:dyDescent="0.25">
      <c r="A40" s="2" t="s">
        <v>366</v>
      </c>
      <c r="B40" s="2" t="s">
        <v>566</v>
      </c>
      <c r="C40" s="2" t="s">
        <v>81</v>
      </c>
      <c r="D40" s="2" t="s">
        <v>32</v>
      </c>
      <c r="E40" s="2" t="s">
        <v>36</v>
      </c>
      <c r="F40" s="2" t="s">
        <v>494</v>
      </c>
      <c r="G40" s="2">
        <v>5000</v>
      </c>
      <c r="H40" s="2">
        <v>1</v>
      </c>
      <c r="I40" s="2">
        <v>0.1</v>
      </c>
      <c r="J40" s="2" t="s">
        <v>567</v>
      </c>
      <c r="K40" s="2">
        <v>892.65</v>
      </c>
      <c r="L40" s="2" t="s">
        <v>33</v>
      </c>
    </row>
    <row r="41" spans="1:12" x14ac:dyDescent="0.25">
      <c r="A41" s="2" t="s">
        <v>267</v>
      </c>
      <c r="B41" s="2" t="s">
        <v>568</v>
      </c>
      <c r="C41" s="2" t="s">
        <v>24</v>
      </c>
      <c r="D41" s="2" t="s">
        <v>32</v>
      </c>
      <c r="E41" s="2" t="s">
        <v>49</v>
      </c>
      <c r="F41" s="2" t="s">
        <v>41</v>
      </c>
      <c r="G41" s="2">
        <v>15000</v>
      </c>
      <c r="H41" s="2">
        <v>3</v>
      </c>
      <c r="I41" s="2">
        <v>0</v>
      </c>
      <c r="J41" s="2" t="s">
        <v>517</v>
      </c>
      <c r="K41" s="2">
        <v>2912.13</v>
      </c>
      <c r="L41" s="2" t="s">
        <v>17</v>
      </c>
    </row>
    <row r="42" spans="1:12" x14ac:dyDescent="0.25">
      <c r="A42" s="2" t="s">
        <v>418</v>
      </c>
      <c r="B42" s="2" t="s">
        <v>569</v>
      </c>
      <c r="C42" s="2" t="s">
        <v>31</v>
      </c>
      <c r="D42" s="2" t="s">
        <v>35</v>
      </c>
      <c r="E42" s="2" t="s">
        <v>522</v>
      </c>
      <c r="F42" s="2" t="s">
        <v>43</v>
      </c>
      <c r="G42" s="2">
        <v>65000</v>
      </c>
      <c r="H42" s="2">
        <v>1</v>
      </c>
      <c r="I42" s="2">
        <v>0.2</v>
      </c>
      <c r="J42" s="2" t="s">
        <v>512</v>
      </c>
      <c r="K42" s="2">
        <v>1462.41</v>
      </c>
      <c r="L42" s="2" t="s">
        <v>496</v>
      </c>
    </row>
    <row r="43" spans="1:12" x14ac:dyDescent="0.25">
      <c r="A43" s="2" t="s">
        <v>232</v>
      </c>
      <c r="B43" s="2" t="s">
        <v>570</v>
      </c>
      <c r="C43" s="2" t="s">
        <v>13</v>
      </c>
      <c r="D43" s="2" t="s">
        <v>506</v>
      </c>
      <c r="E43" s="2" t="s">
        <v>15</v>
      </c>
      <c r="F43" s="2" t="s">
        <v>549</v>
      </c>
      <c r="G43" s="2">
        <v>8000</v>
      </c>
      <c r="H43" s="2">
        <v>2</v>
      </c>
      <c r="I43" s="2">
        <v>0</v>
      </c>
      <c r="J43" s="2" t="s">
        <v>550</v>
      </c>
      <c r="K43" s="2">
        <v>0</v>
      </c>
      <c r="L43" s="2" t="s">
        <v>17</v>
      </c>
    </row>
    <row r="44" spans="1:12" x14ac:dyDescent="0.25">
      <c r="A44" s="2" t="s">
        <v>71</v>
      </c>
      <c r="B44" s="2" t="s">
        <v>571</v>
      </c>
      <c r="C44" s="2" t="s">
        <v>31</v>
      </c>
      <c r="D44" s="2" t="s">
        <v>514</v>
      </c>
      <c r="E44" s="2" t="s">
        <v>49</v>
      </c>
      <c r="F44" s="2" t="s">
        <v>43</v>
      </c>
      <c r="G44" s="2">
        <v>65000</v>
      </c>
      <c r="H44" s="2">
        <v>2</v>
      </c>
      <c r="I44" s="2">
        <v>0</v>
      </c>
      <c r="J44" s="2" t="s">
        <v>560</v>
      </c>
      <c r="K44" s="2">
        <v>2342.65</v>
      </c>
      <c r="L44" s="2" t="s">
        <v>496</v>
      </c>
    </row>
    <row r="45" spans="1:12" x14ac:dyDescent="0.25">
      <c r="A45" s="2" t="s">
        <v>460</v>
      </c>
      <c r="B45" s="2" t="s">
        <v>572</v>
      </c>
      <c r="C45" s="2" t="s">
        <v>65</v>
      </c>
      <c r="D45" s="2" t="s">
        <v>32</v>
      </c>
      <c r="E45" s="2" t="s">
        <v>26</v>
      </c>
      <c r="F45" s="2" t="s">
        <v>494</v>
      </c>
      <c r="G45" s="2">
        <v>5000</v>
      </c>
      <c r="H45" s="2">
        <v>2</v>
      </c>
      <c r="I45" s="2">
        <v>0</v>
      </c>
      <c r="J45" s="2" t="s">
        <v>519</v>
      </c>
      <c r="K45" s="2">
        <v>2738.4</v>
      </c>
      <c r="L45" s="2" t="s">
        <v>17</v>
      </c>
    </row>
    <row r="46" spans="1:12" x14ac:dyDescent="0.25">
      <c r="A46" s="2" t="s">
        <v>179</v>
      </c>
      <c r="B46" s="2" t="s">
        <v>573</v>
      </c>
      <c r="C46" s="2" t="s">
        <v>19</v>
      </c>
      <c r="D46" s="2" t="s">
        <v>20</v>
      </c>
      <c r="E46" s="2" t="s">
        <v>525</v>
      </c>
      <c r="F46" s="2" t="s">
        <v>41</v>
      </c>
      <c r="G46" s="2">
        <v>15000</v>
      </c>
      <c r="H46" s="2">
        <v>3</v>
      </c>
      <c r="I46" s="2">
        <v>0</v>
      </c>
      <c r="J46" s="2"/>
      <c r="K46" s="2">
        <v>559.77</v>
      </c>
      <c r="L46" s="2" t="s">
        <v>496</v>
      </c>
    </row>
    <row r="47" spans="1:12" x14ac:dyDescent="0.25">
      <c r="A47" s="2" t="s">
        <v>59</v>
      </c>
      <c r="B47" s="2" t="s">
        <v>574</v>
      </c>
      <c r="C47" s="2" t="s">
        <v>521</v>
      </c>
      <c r="D47" s="2" t="s">
        <v>506</v>
      </c>
      <c r="E47" s="2" t="s">
        <v>525</v>
      </c>
      <c r="F47" s="2" t="s">
        <v>22</v>
      </c>
      <c r="G47" s="2">
        <v>35000</v>
      </c>
      <c r="H47" s="2">
        <v>1</v>
      </c>
      <c r="I47" s="2">
        <v>0.2</v>
      </c>
      <c r="J47" s="2" t="s">
        <v>575</v>
      </c>
      <c r="K47" s="2">
        <v>0</v>
      </c>
      <c r="L47" s="2" t="s">
        <v>17</v>
      </c>
    </row>
    <row r="48" spans="1:12" x14ac:dyDescent="0.25">
      <c r="A48" s="2" t="s">
        <v>473</v>
      </c>
      <c r="B48" s="2" t="s">
        <v>576</v>
      </c>
      <c r="C48" s="2" t="s">
        <v>65</v>
      </c>
      <c r="D48" s="2" t="s">
        <v>506</v>
      </c>
      <c r="E48" s="2" t="s">
        <v>26</v>
      </c>
      <c r="F48" s="2" t="s">
        <v>494</v>
      </c>
      <c r="G48" s="2">
        <v>5000</v>
      </c>
      <c r="H48" s="2">
        <v>2</v>
      </c>
      <c r="I48" s="2">
        <v>0.15</v>
      </c>
      <c r="J48" s="2" t="s">
        <v>562</v>
      </c>
      <c r="K48" s="2">
        <v>0</v>
      </c>
      <c r="L48" s="2" t="s">
        <v>33</v>
      </c>
    </row>
    <row r="49" spans="1:12" x14ac:dyDescent="0.25">
      <c r="A49" s="2" t="s">
        <v>219</v>
      </c>
      <c r="B49" s="2" t="s">
        <v>577</v>
      </c>
      <c r="C49" s="2" t="s">
        <v>65</v>
      </c>
      <c r="D49" s="2" t="s">
        <v>578</v>
      </c>
      <c r="E49" s="2"/>
      <c r="F49" s="2" t="s">
        <v>43</v>
      </c>
      <c r="G49" s="2">
        <v>65000</v>
      </c>
      <c r="H49" s="2">
        <v>2</v>
      </c>
      <c r="I49" s="2">
        <v>0.15</v>
      </c>
      <c r="J49" s="2" t="s">
        <v>579</v>
      </c>
      <c r="K49" s="2">
        <v>1498.6</v>
      </c>
      <c r="L49" s="2" t="s">
        <v>500</v>
      </c>
    </row>
    <row r="50" spans="1:12" x14ac:dyDescent="0.25">
      <c r="A50" s="2" t="s">
        <v>221</v>
      </c>
      <c r="B50" s="2" t="s">
        <v>580</v>
      </c>
      <c r="C50" s="2" t="s">
        <v>13</v>
      </c>
      <c r="D50" s="2" t="s">
        <v>506</v>
      </c>
      <c r="E50" s="2" t="s">
        <v>21</v>
      </c>
      <c r="F50" s="2" t="s">
        <v>494</v>
      </c>
      <c r="G50" s="2">
        <v>5000</v>
      </c>
      <c r="H50" s="2">
        <v>3</v>
      </c>
      <c r="I50" s="2">
        <v>0.05</v>
      </c>
      <c r="J50" s="2" t="s">
        <v>581</v>
      </c>
      <c r="K50" s="2">
        <v>0</v>
      </c>
      <c r="L50" s="2" t="s">
        <v>33</v>
      </c>
    </row>
    <row r="51" spans="1:12" x14ac:dyDescent="0.25">
      <c r="A51" s="2" t="s">
        <v>120</v>
      </c>
      <c r="B51" s="2" t="s">
        <v>582</v>
      </c>
      <c r="C51" s="2" t="s">
        <v>19</v>
      </c>
      <c r="D51" s="2" t="s">
        <v>38</v>
      </c>
      <c r="E51" s="2" t="s">
        <v>36</v>
      </c>
      <c r="F51" s="2" t="s">
        <v>41</v>
      </c>
      <c r="G51" s="2">
        <v>15000</v>
      </c>
      <c r="H51" s="2">
        <v>2</v>
      </c>
      <c r="I51" s="2">
        <v>0.1</v>
      </c>
      <c r="J51" s="2" t="s">
        <v>583</v>
      </c>
      <c r="K51" s="2">
        <v>0</v>
      </c>
      <c r="L51" s="2" t="s">
        <v>33</v>
      </c>
    </row>
    <row r="52" spans="1:12" x14ac:dyDescent="0.25">
      <c r="A52" s="2" t="s">
        <v>177</v>
      </c>
      <c r="B52" s="2" t="s">
        <v>584</v>
      </c>
      <c r="C52" s="2" t="s">
        <v>19</v>
      </c>
      <c r="D52" s="2" t="s">
        <v>28</v>
      </c>
      <c r="E52" s="2" t="s">
        <v>15</v>
      </c>
      <c r="F52" s="2" t="s">
        <v>41</v>
      </c>
      <c r="G52" s="2">
        <v>15000</v>
      </c>
      <c r="H52" s="2">
        <v>3</v>
      </c>
      <c r="I52" s="2">
        <v>0.2</v>
      </c>
      <c r="J52" s="2" t="s">
        <v>585</v>
      </c>
      <c r="K52" s="2">
        <v>0</v>
      </c>
      <c r="L52" s="2" t="s">
        <v>33</v>
      </c>
    </row>
    <row r="53" spans="1:12" x14ac:dyDescent="0.25">
      <c r="A53" s="2" t="s">
        <v>133</v>
      </c>
      <c r="B53" s="2" t="s">
        <v>586</v>
      </c>
      <c r="C53" s="2" t="s">
        <v>65</v>
      </c>
      <c r="D53" s="2" t="s">
        <v>28</v>
      </c>
      <c r="E53" s="2" t="s">
        <v>36</v>
      </c>
      <c r="F53" s="2" t="s">
        <v>41</v>
      </c>
      <c r="G53" s="2">
        <v>15000</v>
      </c>
      <c r="H53" s="2">
        <v>1</v>
      </c>
      <c r="I53" s="2">
        <v>0.1</v>
      </c>
      <c r="J53" s="2" t="s">
        <v>541</v>
      </c>
      <c r="K53" s="2">
        <v>0</v>
      </c>
      <c r="L53" s="2" t="s">
        <v>17</v>
      </c>
    </row>
    <row r="54" spans="1:12" x14ac:dyDescent="0.25">
      <c r="A54" s="2" t="s">
        <v>46</v>
      </c>
      <c r="B54" s="2" t="s">
        <v>587</v>
      </c>
      <c r="C54" s="2" t="s">
        <v>19</v>
      </c>
      <c r="D54" s="2" t="s">
        <v>20</v>
      </c>
      <c r="E54" s="2"/>
      <c r="F54" s="2" t="s">
        <v>549</v>
      </c>
      <c r="G54" s="2">
        <v>8000</v>
      </c>
      <c r="H54" s="2">
        <v>1</v>
      </c>
      <c r="I54" s="2">
        <v>0</v>
      </c>
      <c r="J54" s="2" t="s">
        <v>495</v>
      </c>
      <c r="K54" s="2">
        <v>1328.78</v>
      </c>
      <c r="L54" s="2" t="s">
        <v>33</v>
      </c>
    </row>
    <row r="55" spans="1:12" x14ac:dyDescent="0.25">
      <c r="A55" s="2" t="s">
        <v>240</v>
      </c>
      <c r="B55" s="2" t="s">
        <v>588</v>
      </c>
      <c r="C55" s="2" t="s">
        <v>511</v>
      </c>
      <c r="D55" s="2" t="s">
        <v>32</v>
      </c>
      <c r="E55" s="2" t="s">
        <v>15</v>
      </c>
      <c r="F55" s="2" t="s">
        <v>41</v>
      </c>
      <c r="G55" s="2">
        <v>15000</v>
      </c>
      <c r="H55" s="2">
        <v>1</v>
      </c>
      <c r="I55" s="2">
        <v>0.2</v>
      </c>
      <c r="J55" s="2" t="s">
        <v>589</v>
      </c>
      <c r="K55" s="2">
        <v>1615.48</v>
      </c>
      <c r="L55" s="2" t="s">
        <v>17</v>
      </c>
    </row>
    <row r="56" spans="1:12" x14ac:dyDescent="0.25">
      <c r="A56" s="2" t="s">
        <v>106</v>
      </c>
      <c r="B56" s="2" t="s">
        <v>590</v>
      </c>
      <c r="C56" s="2" t="s">
        <v>31</v>
      </c>
      <c r="D56" s="2" t="s">
        <v>35</v>
      </c>
      <c r="E56" s="2" t="s">
        <v>525</v>
      </c>
      <c r="F56" s="2" t="s">
        <v>22</v>
      </c>
      <c r="G56" s="2">
        <v>35000</v>
      </c>
      <c r="H56" s="2">
        <v>2</v>
      </c>
      <c r="I56" s="2">
        <v>0</v>
      </c>
      <c r="J56" s="2" t="s">
        <v>537</v>
      </c>
      <c r="K56" s="2">
        <v>3320.97</v>
      </c>
      <c r="L56" s="2" t="s">
        <v>33</v>
      </c>
    </row>
    <row r="57" spans="1:12" x14ac:dyDescent="0.25">
      <c r="A57" s="2" t="s">
        <v>126</v>
      </c>
      <c r="B57" s="2" t="s">
        <v>591</v>
      </c>
      <c r="C57" s="2" t="s">
        <v>19</v>
      </c>
      <c r="D57" s="2" t="s">
        <v>35</v>
      </c>
      <c r="E57" s="2" t="s">
        <v>49</v>
      </c>
      <c r="F57" s="2" t="s">
        <v>22</v>
      </c>
      <c r="G57" s="2">
        <v>35000</v>
      </c>
      <c r="H57" s="2">
        <v>2</v>
      </c>
      <c r="I57" s="2">
        <v>0.1</v>
      </c>
      <c r="J57" s="2" t="s">
        <v>545</v>
      </c>
      <c r="K57" s="2">
        <v>2942.83</v>
      </c>
      <c r="L57" s="2" t="s">
        <v>496</v>
      </c>
    </row>
    <row r="58" spans="1:12" x14ac:dyDescent="0.25">
      <c r="A58" s="2" t="s">
        <v>325</v>
      </c>
      <c r="B58" s="2" t="s">
        <v>592</v>
      </c>
      <c r="C58" s="2" t="s">
        <v>19</v>
      </c>
      <c r="D58" s="2" t="s">
        <v>498</v>
      </c>
      <c r="E58" s="2" t="s">
        <v>39</v>
      </c>
      <c r="F58" s="2" t="s">
        <v>43</v>
      </c>
      <c r="G58" s="2">
        <v>65000</v>
      </c>
      <c r="H58" s="2">
        <v>3</v>
      </c>
      <c r="I58" s="2">
        <v>0.05</v>
      </c>
      <c r="J58" s="2" t="s">
        <v>593</v>
      </c>
      <c r="K58" s="2">
        <v>1204.7</v>
      </c>
      <c r="L58" s="2" t="s">
        <v>33</v>
      </c>
    </row>
    <row r="59" spans="1:12" x14ac:dyDescent="0.25">
      <c r="A59" s="2" t="s">
        <v>171</v>
      </c>
      <c r="B59" s="2" t="s">
        <v>594</v>
      </c>
      <c r="C59" s="2" t="s">
        <v>81</v>
      </c>
      <c r="D59" s="2" t="s">
        <v>514</v>
      </c>
      <c r="E59" s="2" t="s">
        <v>522</v>
      </c>
      <c r="F59" s="2" t="s">
        <v>549</v>
      </c>
      <c r="G59" s="2">
        <v>8000</v>
      </c>
      <c r="H59" s="2">
        <v>2</v>
      </c>
      <c r="I59" s="2">
        <v>0</v>
      </c>
      <c r="J59" s="2" t="s">
        <v>550</v>
      </c>
      <c r="K59" s="2">
        <v>1968.48</v>
      </c>
      <c r="L59" s="2" t="s">
        <v>496</v>
      </c>
    </row>
    <row r="60" spans="1:12" x14ac:dyDescent="0.25">
      <c r="A60" s="2" t="s">
        <v>45</v>
      </c>
      <c r="B60" s="2" t="s">
        <v>595</v>
      </c>
      <c r="C60" s="2" t="s">
        <v>19</v>
      </c>
      <c r="D60" s="2" t="s">
        <v>578</v>
      </c>
      <c r="E60" s="2" t="s">
        <v>522</v>
      </c>
      <c r="F60" s="2" t="s">
        <v>41</v>
      </c>
      <c r="G60" s="2">
        <v>15000</v>
      </c>
      <c r="H60" s="2">
        <v>2</v>
      </c>
      <c r="I60" s="2">
        <v>0</v>
      </c>
      <c r="J60" s="2" t="s">
        <v>499</v>
      </c>
      <c r="K60" s="2">
        <v>1995.19</v>
      </c>
      <c r="L60" s="2" t="s">
        <v>496</v>
      </c>
    </row>
    <row r="61" spans="1:12" x14ac:dyDescent="0.25">
      <c r="A61" s="2" t="s">
        <v>353</v>
      </c>
      <c r="B61" s="2" t="s">
        <v>596</v>
      </c>
      <c r="C61" s="2" t="s">
        <v>24</v>
      </c>
      <c r="D61" s="2" t="s">
        <v>506</v>
      </c>
      <c r="E61" s="2" t="s">
        <v>15</v>
      </c>
      <c r="F61" s="2" t="s">
        <v>41</v>
      </c>
      <c r="G61" s="2">
        <v>15000</v>
      </c>
      <c r="H61" s="2">
        <v>3</v>
      </c>
      <c r="I61" s="2">
        <v>0</v>
      </c>
      <c r="J61" s="2" t="s">
        <v>517</v>
      </c>
      <c r="K61" s="2">
        <v>0</v>
      </c>
      <c r="L61" s="2" t="s">
        <v>496</v>
      </c>
    </row>
    <row r="62" spans="1:12" x14ac:dyDescent="0.25">
      <c r="A62" s="2" t="s">
        <v>227</v>
      </c>
      <c r="B62" s="2" t="s">
        <v>597</v>
      </c>
      <c r="C62" s="2" t="s">
        <v>24</v>
      </c>
      <c r="D62" s="2" t="s">
        <v>534</v>
      </c>
      <c r="E62" s="2" t="s">
        <v>525</v>
      </c>
      <c r="F62" s="2" t="s">
        <v>494</v>
      </c>
      <c r="G62" s="2">
        <v>5000</v>
      </c>
      <c r="H62" s="2">
        <v>1</v>
      </c>
      <c r="I62" s="2">
        <v>0</v>
      </c>
      <c r="J62" s="2" t="s">
        <v>529</v>
      </c>
      <c r="K62" s="2">
        <v>1827.02</v>
      </c>
      <c r="L62" s="2" t="s">
        <v>17</v>
      </c>
    </row>
    <row r="63" spans="1:12" x14ac:dyDescent="0.25">
      <c r="A63" s="2" t="s">
        <v>230</v>
      </c>
      <c r="B63" s="2" t="s">
        <v>598</v>
      </c>
      <c r="C63" s="2" t="s">
        <v>31</v>
      </c>
      <c r="D63" s="2" t="s">
        <v>20</v>
      </c>
      <c r="E63" s="2" t="s">
        <v>39</v>
      </c>
      <c r="F63" s="2" t="s">
        <v>549</v>
      </c>
      <c r="G63" s="2">
        <v>8000</v>
      </c>
      <c r="H63" s="2">
        <v>1</v>
      </c>
      <c r="I63" s="2">
        <v>0</v>
      </c>
      <c r="J63" s="2" t="s">
        <v>495</v>
      </c>
      <c r="K63" s="2">
        <v>1584.48</v>
      </c>
      <c r="L63" s="2" t="s">
        <v>17</v>
      </c>
    </row>
    <row r="64" spans="1:12" x14ac:dyDescent="0.25">
      <c r="A64" s="2" t="s">
        <v>156</v>
      </c>
      <c r="B64" s="2" t="s">
        <v>599</v>
      </c>
      <c r="C64" s="2" t="s">
        <v>24</v>
      </c>
      <c r="D64" s="2" t="s">
        <v>534</v>
      </c>
      <c r="E64" s="2" t="s">
        <v>21</v>
      </c>
      <c r="F64" s="2" t="s">
        <v>41</v>
      </c>
      <c r="G64" s="2">
        <v>15000</v>
      </c>
      <c r="H64" s="2">
        <v>1</v>
      </c>
      <c r="I64" s="2">
        <v>0</v>
      </c>
      <c r="J64" s="2" t="s">
        <v>526</v>
      </c>
      <c r="K64" s="2">
        <v>949.96</v>
      </c>
      <c r="L64" s="2" t="s">
        <v>500</v>
      </c>
    </row>
    <row r="65" spans="1:12" x14ac:dyDescent="0.25">
      <c r="A65" s="2" t="s">
        <v>239</v>
      </c>
      <c r="B65" s="2" t="s">
        <v>600</v>
      </c>
      <c r="C65" s="2" t="s">
        <v>65</v>
      </c>
      <c r="D65" s="2" t="s">
        <v>38</v>
      </c>
      <c r="E65" s="2" t="s">
        <v>525</v>
      </c>
      <c r="F65" s="2" t="s">
        <v>43</v>
      </c>
      <c r="G65" s="2">
        <v>65000</v>
      </c>
      <c r="H65" s="2">
        <v>1</v>
      </c>
      <c r="I65" s="2">
        <v>0.1</v>
      </c>
      <c r="J65" s="2" t="s">
        <v>601</v>
      </c>
      <c r="K65" s="2">
        <v>0</v>
      </c>
      <c r="L65" s="2" t="s">
        <v>17</v>
      </c>
    </row>
    <row r="66" spans="1:12" x14ac:dyDescent="0.25">
      <c r="A66" s="2" t="s">
        <v>140</v>
      </c>
      <c r="B66" s="2" t="s">
        <v>602</v>
      </c>
      <c r="C66" s="2" t="s">
        <v>31</v>
      </c>
      <c r="D66" s="2" t="s">
        <v>514</v>
      </c>
      <c r="E66" s="2" t="s">
        <v>39</v>
      </c>
      <c r="F66" s="2" t="s">
        <v>549</v>
      </c>
      <c r="G66" s="2">
        <v>8000</v>
      </c>
      <c r="H66" s="2">
        <v>2</v>
      </c>
      <c r="I66" s="2">
        <v>0</v>
      </c>
      <c r="J66" s="2" t="s">
        <v>550</v>
      </c>
      <c r="K66" s="2">
        <v>2514.5100000000002</v>
      </c>
      <c r="L66" s="2" t="s">
        <v>33</v>
      </c>
    </row>
    <row r="67" spans="1:12" x14ac:dyDescent="0.25">
      <c r="A67" s="2" t="s">
        <v>357</v>
      </c>
      <c r="B67" s="2" t="s">
        <v>603</v>
      </c>
      <c r="C67" s="2" t="s">
        <v>31</v>
      </c>
      <c r="D67" s="2" t="s">
        <v>28</v>
      </c>
      <c r="E67" s="2" t="s">
        <v>21</v>
      </c>
      <c r="F67" s="2" t="s">
        <v>494</v>
      </c>
      <c r="G67" s="2">
        <v>5000</v>
      </c>
      <c r="H67" s="2">
        <v>2</v>
      </c>
      <c r="I67" s="2">
        <v>0.1</v>
      </c>
      <c r="J67" s="2" t="s">
        <v>539</v>
      </c>
      <c r="K67" s="2">
        <v>0</v>
      </c>
      <c r="L67" s="2" t="s">
        <v>496</v>
      </c>
    </row>
    <row r="68" spans="1:12" x14ac:dyDescent="0.25">
      <c r="A68" s="2" t="s">
        <v>401</v>
      </c>
      <c r="B68" s="2" t="s">
        <v>604</v>
      </c>
      <c r="C68" s="2" t="s">
        <v>81</v>
      </c>
      <c r="D68" s="2" t="s">
        <v>534</v>
      </c>
      <c r="E68" s="2" t="s">
        <v>21</v>
      </c>
      <c r="F68" s="2" t="s">
        <v>549</v>
      </c>
      <c r="G68" s="2">
        <v>8000</v>
      </c>
      <c r="H68" s="2">
        <v>1</v>
      </c>
      <c r="I68" s="2">
        <v>0.2</v>
      </c>
      <c r="J68" s="2" t="s">
        <v>605</v>
      </c>
      <c r="K68" s="2"/>
      <c r="L68" s="2" t="s">
        <v>500</v>
      </c>
    </row>
    <row r="69" spans="1:12" x14ac:dyDescent="0.25">
      <c r="A69" s="2" t="s">
        <v>470</v>
      </c>
      <c r="B69" s="2" t="s">
        <v>606</v>
      </c>
      <c r="C69" s="2" t="s">
        <v>511</v>
      </c>
      <c r="D69" s="2" t="s">
        <v>35</v>
      </c>
      <c r="E69" s="2" t="s">
        <v>39</v>
      </c>
      <c r="F69" s="2" t="s">
        <v>43</v>
      </c>
      <c r="G69" s="2">
        <v>65000</v>
      </c>
      <c r="H69" s="2">
        <v>2</v>
      </c>
      <c r="I69" s="2">
        <v>0</v>
      </c>
      <c r="J69" s="2" t="s">
        <v>560</v>
      </c>
      <c r="K69" s="2">
        <v>919.88</v>
      </c>
      <c r="L69" s="2" t="s">
        <v>33</v>
      </c>
    </row>
    <row r="70" spans="1:12" x14ac:dyDescent="0.25">
      <c r="A70" s="2" t="s">
        <v>104</v>
      </c>
      <c r="B70" s="2" t="s">
        <v>607</v>
      </c>
      <c r="C70" s="2" t="s">
        <v>24</v>
      </c>
      <c r="D70" s="2" t="s">
        <v>32</v>
      </c>
      <c r="E70" s="2" t="s">
        <v>15</v>
      </c>
      <c r="F70" s="2" t="s">
        <v>22</v>
      </c>
      <c r="G70" s="2">
        <v>35000</v>
      </c>
      <c r="H70" s="2">
        <v>1</v>
      </c>
      <c r="I70" s="2">
        <v>0.15</v>
      </c>
      <c r="J70" s="2" t="s">
        <v>608</v>
      </c>
      <c r="K70" s="2">
        <v>1056.3399999999999</v>
      </c>
      <c r="L70" s="2" t="s">
        <v>17</v>
      </c>
    </row>
    <row r="71" spans="1:12" x14ac:dyDescent="0.25">
      <c r="A71" s="2" t="s">
        <v>246</v>
      </c>
      <c r="B71" s="2" t="s">
        <v>609</v>
      </c>
      <c r="C71" s="2" t="s">
        <v>511</v>
      </c>
      <c r="D71" s="2" t="s">
        <v>32</v>
      </c>
      <c r="E71" s="2" t="s">
        <v>39</v>
      </c>
      <c r="F71" s="2" t="s">
        <v>549</v>
      </c>
      <c r="G71" s="2">
        <v>8000</v>
      </c>
      <c r="H71" s="2">
        <v>3</v>
      </c>
      <c r="I71" s="2">
        <v>0</v>
      </c>
      <c r="J71" s="2" t="s">
        <v>515</v>
      </c>
      <c r="K71" s="2">
        <v>1529.17</v>
      </c>
      <c r="L71" s="2" t="s">
        <v>500</v>
      </c>
    </row>
    <row r="72" spans="1:12" x14ac:dyDescent="0.25">
      <c r="A72" s="2" t="s">
        <v>249</v>
      </c>
      <c r="B72" s="2" t="s">
        <v>610</v>
      </c>
      <c r="C72" s="2" t="s">
        <v>81</v>
      </c>
      <c r="D72" s="2" t="s">
        <v>20</v>
      </c>
      <c r="E72" s="2" t="s">
        <v>36</v>
      </c>
      <c r="F72" s="2" t="s">
        <v>22</v>
      </c>
      <c r="G72" s="2">
        <v>35000</v>
      </c>
      <c r="H72" s="2">
        <v>2</v>
      </c>
      <c r="I72" s="2">
        <v>0.15</v>
      </c>
      <c r="J72" s="2" t="s">
        <v>611</v>
      </c>
      <c r="K72" s="2">
        <v>3207.53</v>
      </c>
      <c r="L72" s="2" t="s">
        <v>17</v>
      </c>
    </row>
    <row r="73" spans="1:12" x14ac:dyDescent="0.25">
      <c r="A73" s="2" t="s">
        <v>314</v>
      </c>
      <c r="B73" s="2" t="s">
        <v>612</v>
      </c>
      <c r="C73" s="2" t="s">
        <v>31</v>
      </c>
      <c r="D73" s="2" t="s">
        <v>534</v>
      </c>
      <c r="E73" s="2" t="s">
        <v>39</v>
      </c>
      <c r="F73" s="2" t="s">
        <v>549</v>
      </c>
      <c r="G73" s="2">
        <v>8000</v>
      </c>
      <c r="H73" s="2">
        <v>3</v>
      </c>
      <c r="I73" s="2">
        <v>0.2</v>
      </c>
      <c r="J73" s="2" t="s">
        <v>613</v>
      </c>
      <c r="K73" s="2">
        <v>2849.38</v>
      </c>
      <c r="L73" s="2" t="s">
        <v>33</v>
      </c>
    </row>
    <row r="74" spans="1:12" x14ac:dyDescent="0.25">
      <c r="A74" s="2" t="s">
        <v>358</v>
      </c>
      <c r="B74" s="2" t="s">
        <v>614</v>
      </c>
      <c r="C74" s="2" t="s">
        <v>24</v>
      </c>
      <c r="D74" s="2" t="s">
        <v>534</v>
      </c>
      <c r="E74" s="2" t="s">
        <v>525</v>
      </c>
      <c r="F74" s="2" t="s">
        <v>41</v>
      </c>
      <c r="G74" s="2">
        <v>15000</v>
      </c>
      <c r="H74" s="2">
        <v>2</v>
      </c>
      <c r="I74" s="2">
        <v>0.1</v>
      </c>
      <c r="J74" s="2" t="s">
        <v>583</v>
      </c>
      <c r="K74" s="2">
        <v>683.63</v>
      </c>
      <c r="L74" s="2" t="s">
        <v>33</v>
      </c>
    </row>
    <row r="75" spans="1:12" x14ac:dyDescent="0.25">
      <c r="A75" s="2" t="s">
        <v>72</v>
      </c>
      <c r="B75" s="2" t="s">
        <v>615</v>
      </c>
      <c r="C75" s="2" t="s">
        <v>24</v>
      </c>
      <c r="D75" s="2" t="s">
        <v>20</v>
      </c>
      <c r="E75" s="2" t="s">
        <v>15</v>
      </c>
      <c r="F75" s="2" t="s">
        <v>22</v>
      </c>
      <c r="G75" s="2">
        <v>35000</v>
      </c>
      <c r="H75" s="2">
        <v>1</v>
      </c>
      <c r="I75" s="2">
        <v>0</v>
      </c>
      <c r="J75" s="2" t="s">
        <v>616</v>
      </c>
      <c r="K75" s="2">
        <v>2113.27</v>
      </c>
      <c r="L75" s="2" t="s">
        <v>33</v>
      </c>
    </row>
    <row r="76" spans="1:12" x14ac:dyDescent="0.25">
      <c r="A76" s="2" t="s">
        <v>380</v>
      </c>
      <c r="B76" s="2" t="s">
        <v>617</v>
      </c>
      <c r="C76" s="2" t="s">
        <v>65</v>
      </c>
      <c r="D76" s="2" t="s">
        <v>28</v>
      </c>
      <c r="E76" s="2" t="s">
        <v>525</v>
      </c>
      <c r="F76" s="2" t="s">
        <v>41</v>
      </c>
      <c r="G76" s="2">
        <v>15000</v>
      </c>
      <c r="H76" s="2">
        <v>1</v>
      </c>
      <c r="I76" s="2">
        <v>0.05</v>
      </c>
      <c r="J76" s="2" t="s">
        <v>581</v>
      </c>
      <c r="K76" s="2">
        <v>0</v>
      </c>
      <c r="L76" s="2" t="s">
        <v>33</v>
      </c>
    </row>
    <row r="77" spans="1:12" x14ac:dyDescent="0.25">
      <c r="A77" s="2" t="s">
        <v>70</v>
      </c>
      <c r="B77" s="2" t="s">
        <v>618</v>
      </c>
      <c r="C77" s="2" t="s">
        <v>24</v>
      </c>
      <c r="D77" s="2" t="s">
        <v>35</v>
      </c>
      <c r="E77" s="2" t="s">
        <v>36</v>
      </c>
      <c r="F77" s="2" t="s">
        <v>494</v>
      </c>
      <c r="G77" s="2">
        <v>5000</v>
      </c>
      <c r="H77" s="2">
        <v>1</v>
      </c>
      <c r="I77" s="2">
        <v>0.1</v>
      </c>
      <c r="J77" s="2" t="s">
        <v>567</v>
      </c>
      <c r="K77" s="2">
        <v>243.71</v>
      </c>
      <c r="L77" s="2" t="s">
        <v>500</v>
      </c>
    </row>
    <row r="78" spans="1:12" x14ac:dyDescent="0.25">
      <c r="A78" s="2" t="s">
        <v>70</v>
      </c>
      <c r="B78" s="2" t="s">
        <v>618</v>
      </c>
      <c r="C78" s="2" t="s">
        <v>24</v>
      </c>
      <c r="D78" s="2" t="s">
        <v>35</v>
      </c>
      <c r="E78" s="2" t="s">
        <v>36</v>
      </c>
      <c r="F78" s="2" t="s">
        <v>494</v>
      </c>
      <c r="G78" s="2">
        <v>5000</v>
      </c>
      <c r="H78" s="2">
        <v>1</v>
      </c>
      <c r="I78" s="2">
        <v>0.1</v>
      </c>
      <c r="J78" s="2" t="s">
        <v>567</v>
      </c>
      <c r="K78" s="2">
        <v>243.71</v>
      </c>
      <c r="L78" s="2" t="s">
        <v>500</v>
      </c>
    </row>
    <row r="79" spans="1:12" x14ac:dyDescent="0.25">
      <c r="A79" s="2" t="s">
        <v>303</v>
      </c>
      <c r="B79" s="2" t="s">
        <v>619</v>
      </c>
      <c r="C79" s="2" t="s">
        <v>13</v>
      </c>
      <c r="D79" s="2" t="s">
        <v>534</v>
      </c>
      <c r="E79" s="2" t="s">
        <v>36</v>
      </c>
      <c r="F79" s="2" t="s">
        <v>22</v>
      </c>
      <c r="G79" s="2">
        <v>35000</v>
      </c>
      <c r="H79" s="2">
        <v>2</v>
      </c>
      <c r="I79" s="2">
        <v>0.05</v>
      </c>
      <c r="J79" s="2" t="s">
        <v>504</v>
      </c>
      <c r="K79" s="2">
        <v>2639.8</v>
      </c>
      <c r="L79" s="2" t="s">
        <v>33</v>
      </c>
    </row>
    <row r="80" spans="1:12" x14ac:dyDescent="0.25">
      <c r="A80" s="2" t="s">
        <v>110</v>
      </c>
      <c r="B80" s="2" t="s">
        <v>620</v>
      </c>
      <c r="C80" s="2" t="s">
        <v>81</v>
      </c>
      <c r="D80" s="2"/>
      <c r="E80" s="2" t="s">
        <v>26</v>
      </c>
      <c r="F80" s="2" t="s">
        <v>41</v>
      </c>
      <c r="G80" s="2">
        <v>15000</v>
      </c>
      <c r="H80" s="2">
        <v>2</v>
      </c>
      <c r="I80" s="2">
        <v>0.2</v>
      </c>
      <c r="J80" s="2" t="s">
        <v>515</v>
      </c>
      <c r="K80" s="2">
        <v>1268.2</v>
      </c>
      <c r="L80" s="2" t="s">
        <v>17</v>
      </c>
    </row>
    <row r="81" spans="1:12" x14ac:dyDescent="0.25">
      <c r="A81" s="2" t="s">
        <v>191</v>
      </c>
      <c r="B81" s="2" t="s">
        <v>621</v>
      </c>
      <c r="C81" s="2" t="s">
        <v>19</v>
      </c>
      <c r="D81" s="2" t="s">
        <v>35</v>
      </c>
      <c r="E81" s="2" t="s">
        <v>49</v>
      </c>
      <c r="F81" s="2" t="s">
        <v>549</v>
      </c>
      <c r="G81" s="2">
        <v>8000</v>
      </c>
      <c r="H81" s="2">
        <v>2</v>
      </c>
      <c r="I81" s="2">
        <v>0</v>
      </c>
      <c r="J81" s="2" t="s">
        <v>550</v>
      </c>
      <c r="K81" s="2">
        <v>1122.4000000000001</v>
      </c>
      <c r="L81" s="2" t="s">
        <v>17</v>
      </c>
    </row>
    <row r="82" spans="1:12" x14ac:dyDescent="0.25">
      <c r="A82" s="2" t="s">
        <v>323</v>
      </c>
      <c r="B82" s="2" t="s">
        <v>622</v>
      </c>
      <c r="C82" s="2" t="s">
        <v>24</v>
      </c>
      <c r="D82" s="2" t="s">
        <v>498</v>
      </c>
      <c r="E82" s="2" t="s">
        <v>36</v>
      </c>
      <c r="F82" s="2" t="s">
        <v>22</v>
      </c>
      <c r="G82" s="2">
        <v>35000</v>
      </c>
      <c r="H82" s="2">
        <v>1</v>
      </c>
      <c r="I82" s="2">
        <v>0.1</v>
      </c>
      <c r="J82" s="2" t="s">
        <v>623</v>
      </c>
      <c r="K82" s="2">
        <v>2731.99</v>
      </c>
      <c r="L82" s="2" t="s">
        <v>33</v>
      </c>
    </row>
    <row r="83" spans="1:12" x14ac:dyDescent="0.25">
      <c r="A83" s="2" t="s">
        <v>428</v>
      </c>
      <c r="B83" s="2" t="s">
        <v>624</v>
      </c>
      <c r="C83" s="2" t="s">
        <v>65</v>
      </c>
      <c r="D83" s="2" t="s">
        <v>35</v>
      </c>
      <c r="E83" s="2" t="s">
        <v>36</v>
      </c>
      <c r="F83" s="2" t="s">
        <v>22</v>
      </c>
      <c r="G83" s="2">
        <v>35000</v>
      </c>
      <c r="H83" s="2">
        <v>1</v>
      </c>
      <c r="I83" s="2">
        <v>0.2</v>
      </c>
      <c r="J83" s="2" t="s">
        <v>575</v>
      </c>
      <c r="K83" s="2">
        <v>1195.58</v>
      </c>
      <c r="L83" s="2" t="s">
        <v>17</v>
      </c>
    </row>
    <row r="84" spans="1:12" x14ac:dyDescent="0.25">
      <c r="A84" s="2" t="s">
        <v>190</v>
      </c>
      <c r="B84" s="2" t="s">
        <v>625</v>
      </c>
      <c r="C84" s="2" t="s">
        <v>19</v>
      </c>
      <c r="D84" s="2" t="s">
        <v>498</v>
      </c>
      <c r="E84" s="2" t="s">
        <v>49</v>
      </c>
      <c r="F84" s="2" t="s">
        <v>549</v>
      </c>
      <c r="G84" s="2">
        <v>8000</v>
      </c>
      <c r="H84" s="2">
        <v>1</v>
      </c>
      <c r="I84" s="2">
        <v>0</v>
      </c>
      <c r="J84" s="2" t="s">
        <v>495</v>
      </c>
      <c r="K84" s="2">
        <v>3317.43</v>
      </c>
      <c r="L84" s="2" t="s">
        <v>500</v>
      </c>
    </row>
    <row r="85" spans="1:12" x14ac:dyDescent="0.25">
      <c r="A85" s="2" t="s">
        <v>474</v>
      </c>
      <c r="B85" s="2" t="s">
        <v>626</v>
      </c>
      <c r="C85" s="2" t="s">
        <v>13</v>
      </c>
      <c r="D85" s="2" t="s">
        <v>506</v>
      </c>
      <c r="E85" s="2" t="s">
        <v>21</v>
      </c>
      <c r="F85" s="2" t="s">
        <v>22</v>
      </c>
      <c r="G85" s="2">
        <v>35000</v>
      </c>
      <c r="H85" s="2">
        <v>3</v>
      </c>
      <c r="I85" s="2">
        <v>0.05</v>
      </c>
      <c r="J85" s="2" t="s">
        <v>627</v>
      </c>
      <c r="K85" s="2">
        <v>0</v>
      </c>
      <c r="L85" s="2" t="s">
        <v>496</v>
      </c>
    </row>
    <row r="86" spans="1:12" x14ac:dyDescent="0.25">
      <c r="A86" s="2" t="s">
        <v>206</v>
      </c>
      <c r="B86" s="2" t="s">
        <v>628</v>
      </c>
      <c r="C86" s="2" t="s">
        <v>81</v>
      </c>
      <c r="D86" s="2" t="s">
        <v>20</v>
      </c>
      <c r="E86" s="2" t="s">
        <v>39</v>
      </c>
      <c r="F86" s="2" t="s">
        <v>549</v>
      </c>
      <c r="G86" s="2">
        <v>8000</v>
      </c>
      <c r="H86" s="2">
        <v>2</v>
      </c>
      <c r="I86" s="2">
        <v>0.15</v>
      </c>
      <c r="J86" s="2" t="s">
        <v>629</v>
      </c>
      <c r="K86" s="2">
        <v>2514.13</v>
      </c>
      <c r="L86" s="2" t="s">
        <v>33</v>
      </c>
    </row>
    <row r="87" spans="1:12" x14ac:dyDescent="0.25">
      <c r="A87" s="2" t="s">
        <v>368</v>
      </c>
      <c r="B87" s="2" t="s">
        <v>630</v>
      </c>
      <c r="C87" s="2" t="s">
        <v>13</v>
      </c>
      <c r="D87" s="2" t="s">
        <v>534</v>
      </c>
      <c r="E87" s="2" t="s">
        <v>39</v>
      </c>
      <c r="F87" s="2" t="s">
        <v>41</v>
      </c>
      <c r="G87" s="2">
        <v>15000</v>
      </c>
      <c r="H87" s="2">
        <v>2</v>
      </c>
      <c r="I87" s="2">
        <v>0</v>
      </c>
      <c r="J87" s="2" t="s">
        <v>499</v>
      </c>
      <c r="K87" s="2">
        <v>1046.8900000000001</v>
      </c>
      <c r="L87" s="2" t="s">
        <v>33</v>
      </c>
    </row>
    <row r="88" spans="1:12" x14ac:dyDescent="0.25">
      <c r="A88" s="2" t="s">
        <v>217</v>
      </c>
      <c r="B88" s="2" t="s">
        <v>631</v>
      </c>
      <c r="C88" s="2" t="s">
        <v>521</v>
      </c>
      <c r="D88" s="2" t="s">
        <v>38</v>
      </c>
      <c r="E88" s="2" t="s">
        <v>26</v>
      </c>
      <c r="F88" s="2" t="s">
        <v>22</v>
      </c>
      <c r="G88" s="2">
        <v>35000</v>
      </c>
      <c r="H88" s="2">
        <v>3</v>
      </c>
      <c r="I88" s="2">
        <v>0.05</v>
      </c>
      <c r="J88" s="2" t="s">
        <v>627</v>
      </c>
      <c r="K88" s="2">
        <v>0</v>
      </c>
      <c r="L88" s="2" t="s">
        <v>17</v>
      </c>
    </row>
    <row r="89" spans="1:12" x14ac:dyDescent="0.25">
      <c r="A89" s="2" t="s">
        <v>238</v>
      </c>
      <c r="B89" s="2" t="s">
        <v>632</v>
      </c>
      <c r="C89" s="2" t="s">
        <v>31</v>
      </c>
      <c r="D89" s="2" t="s">
        <v>534</v>
      </c>
      <c r="E89" s="2" t="s">
        <v>522</v>
      </c>
      <c r="F89" s="2" t="s">
        <v>43</v>
      </c>
      <c r="G89" s="2">
        <v>65000</v>
      </c>
      <c r="H89" s="2">
        <v>1</v>
      </c>
      <c r="I89" s="2">
        <v>0.1</v>
      </c>
      <c r="J89" s="2" t="s">
        <v>601</v>
      </c>
      <c r="K89" s="2">
        <v>3391.55</v>
      </c>
      <c r="L89" s="2" t="s">
        <v>496</v>
      </c>
    </row>
    <row r="90" spans="1:12" x14ac:dyDescent="0.25">
      <c r="A90" s="2" t="s">
        <v>299</v>
      </c>
      <c r="B90" s="2" t="s">
        <v>633</v>
      </c>
      <c r="C90" s="2" t="s">
        <v>19</v>
      </c>
      <c r="D90" s="2" t="s">
        <v>35</v>
      </c>
      <c r="E90" s="2" t="s">
        <v>26</v>
      </c>
      <c r="F90" s="2" t="s">
        <v>41</v>
      </c>
      <c r="G90" s="2">
        <v>15000</v>
      </c>
      <c r="H90" s="2">
        <v>2</v>
      </c>
      <c r="I90" s="2">
        <v>0.1</v>
      </c>
      <c r="J90" s="2" t="s">
        <v>583</v>
      </c>
      <c r="K90" s="2">
        <v>1475.2</v>
      </c>
      <c r="L90" s="2" t="s">
        <v>33</v>
      </c>
    </row>
    <row r="91" spans="1:12" x14ac:dyDescent="0.25">
      <c r="A91" s="2" t="s">
        <v>467</v>
      </c>
      <c r="B91" s="2" t="s">
        <v>634</v>
      </c>
      <c r="C91" s="2" t="s">
        <v>24</v>
      </c>
      <c r="D91" s="2" t="s">
        <v>32</v>
      </c>
      <c r="E91" s="2" t="s">
        <v>26</v>
      </c>
      <c r="F91" s="2" t="s">
        <v>22</v>
      </c>
      <c r="G91" s="2">
        <v>35000</v>
      </c>
      <c r="H91" s="2">
        <v>2</v>
      </c>
      <c r="I91" s="2">
        <v>0.1</v>
      </c>
      <c r="J91" s="2" t="s">
        <v>545</v>
      </c>
      <c r="K91" s="2">
        <v>1617.61</v>
      </c>
      <c r="L91" s="2" t="s">
        <v>33</v>
      </c>
    </row>
    <row r="92" spans="1:12" x14ac:dyDescent="0.25">
      <c r="A92" s="2" t="s">
        <v>315</v>
      </c>
      <c r="B92" s="2" t="s">
        <v>635</v>
      </c>
      <c r="C92" s="2" t="s">
        <v>65</v>
      </c>
      <c r="D92" s="2" t="s">
        <v>534</v>
      </c>
      <c r="E92" s="2" t="s">
        <v>49</v>
      </c>
      <c r="F92" s="2" t="s">
        <v>549</v>
      </c>
      <c r="G92" s="2">
        <v>8000</v>
      </c>
      <c r="H92" s="2">
        <v>2</v>
      </c>
      <c r="I92" s="2">
        <v>0.1</v>
      </c>
      <c r="J92" s="2" t="s">
        <v>636</v>
      </c>
      <c r="K92" s="2">
        <v>1406.4</v>
      </c>
      <c r="L92" s="2" t="s">
        <v>17</v>
      </c>
    </row>
    <row r="93" spans="1:12" x14ac:dyDescent="0.25">
      <c r="A93" s="2" t="s">
        <v>183</v>
      </c>
      <c r="B93" s="2" t="s">
        <v>637</v>
      </c>
      <c r="C93" s="2" t="s">
        <v>19</v>
      </c>
      <c r="D93" s="2" t="s">
        <v>20</v>
      </c>
      <c r="E93" s="2" t="s">
        <v>49</v>
      </c>
      <c r="F93" s="2" t="s">
        <v>549</v>
      </c>
      <c r="G93" s="2">
        <v>8000</v>
      </c>
      <c r="H93" s="2">
        <v>1</v>
      </c>
      <c r="I93" s="2">
        <v>0.15</v>
      </c>
      <c r="J93" s="2" t="s">
        <v>638</v>
      </c>
      <c r="K93" s="2">
        <v>288.64</v>
      </c>
      <c r="L93" s="2" t="s">
        <v>33</v>
      </c>
    </row>
    <row r="94" spans="1:12" x14ac:dyDescent="0.25">
      <c r="A94" s="2" t="s">
        <v>193</v>
      </c>
      <c r="B94" s="2" t="s">
        <v>639</v>
      </c>
      <c r="C94" s="2"/>
      <c r="D94" s="2" t="s">
        <v>506</v>
      </c>
      <c r="E94" s="2" t="s">
        <v>522</v>
      </c>
      <c r="F94" s="2" t="s">
        <v>22</v>
      </c>
      <c r="G94" s="2">
        <v>35000</v>
      </c>
      <c r="H94" s="2">
        <v>2</v>
      </c>
      <c r="I94" s="2">
        <v>0.2</v>
      </c>
      <c r="J94" s="2" t="s">
        <v>640</v>
      </c>
      <c r="K94" s="2">
        <v>0</v>
      </c>
      <c r="L94" s="2" t="s">
        <v>17</v>
      </c>
    </row>
    <row r="95" spans="1:12" x14ac:dyDescent="0.25">
      <c r="A95" s="2" t="s">
        <v>107</v>
      </c>
      <c r="B95" s="2" t="s">
        <v>641</v>
      </c>
      <c r="C95" s="2" t="s">
        <v>13</v>
      </c>
      <c r="D95" s="2" t="s">
        <v>534</v>
      </c>
      <c r="E95" s="2" t="s">
        <v>36</v>
      </c>
      <c r="F95" s="2" t="s">
        <v>41</v>
      </c>
      <c r="G95" s="2">
        <v>15000</v>
      </c>
      <c r="H95" s="2">
        <v>2</v>
      </c>
      <c r="I95" s="2">
        <v>0.15</v>
      </c>
      <c r="J95" s="2" t="s">
        <v>642</v>
      </c>
      <c r="K95" s="2">
        <v>442.56</v>
      </c>
      <c r="L95" s="2" t="s">
        <v>33</v>
      </c>
    </row>
    <row r="96" spans="1:12" x14ac:dyDescent="0.25">
      <c r="A96" s="2" t="s">
        <v>429</v>
      </c>
      <c r="B96" s="2" t="s">
        <v>643</v>
      </c>
      <c r="C96" s="2" t="s">
        <v>65</v>
      </c>
      <c r="D96" s="2" t="s">
        <v>534</v>
      </c>
      <c r="E96" s="2" t="s">
        <v>15</v>
      </c>
      <c r="F96" s="2" t="s">
        <v>43</v>
      </c>
      <c r="G96" s="2">
        <v>65000</v>
      </c>
      <c r="H96" s="2">
        <v>1</v>
      </c>
      <c r="I96" s="2">
        <v>0</v>
      </c>
      <c r="J96" s="2" t="s">
        <v>523</v>
      </c>
      <c r="K96" s="2">
        <v>3292.99</v>
      </c>
      <c r="L96" s="2" t="s">
        <v>500</v>
      </c>
    </row>
    <row r="97" spans="1:12" x14ac:dyDescent="0.25">
      <c r="A97" s="2" t="s">
        <v>218</v>
      </c>
      <c r="B97" s="2" t="s">
        <v>644</v>
      </c>
      <c r="C97" s="2" t="s">
        <v>521</v>
      </c>
      <c r="D97" s="2" t="s">
        <v>20</v>
      </c>
      <c r="E97" s="2" t="s">
        <v>15</v>
      </c>
      <c r="F97" s="2" t="s">
        <v>22</v>
      </c>
      <c r="G97" s="2">
        <v>35000</v>
      </c>
      <c r="H97" s="2">
        <v>2</v>
      </c>
      <c r="I97" s="2">
        <v>0.15</v>
      </c>
      <c r="J97" s="2" t="s">
        <v>611</v>
      </c>
      <c r="K97" s="2">
        <v>366.32</v>
      </c>
      <c r="L97" s="2" t="s">
        <v>33</v>
      </c>
    </row>
    <row r="98" spans="1:12" x14ac:dyDescent="0.25">
      <c r="A98" s="2" t="s">
        <v>263</v>
      </c>
      <c r="B98" s="2" t="s">
        <v>645</v>
      </c>
      <c r="C98" s="2" t="s">
        <v>13</v>
      </c>
      <c r="D98" s="2" t="s">
        <v>534</v>
      </c>
      <c r="E98" s="2" t="s">
        <v>21</v>
      </c>
      <c r="F98" s="2" t="s">
        <v>22</v>
      </c>
      <c r="G98" s="2">
        <v>35000</v>
      </c>
      <c r="H98" s="2">
        <v>1</v>
      </c>
      <c r="I98" s="2">
        <v>0</v>
      </c>
      <c r="J98" s="2" t="s">
        <v>616</v>
      </c>
      <c r="K98" s="2">
        <v>610.28</v>
      </c>
      <c r="L98" s="2" t="s">
        <v>33</v>
      </c>
    </row>
    <row r="99" spans="1:12" x14ac:dyDescent="0.25">
      <c r="A99" s="2" t="s">
        <v>422</v>
      </c>
      <c r="B99" s="2" t="s">
        <v>646</v>
      </c>
      <c r="C99" s="2" t="s">
        <v>19</v>
      </c>
      <c r="D99" s="2" t="s">
        <v>506</v>
      </c>
      <c r="E99" s="2" t="s">
        <v>522</v>
      </c>
      <c r="F99" s="2" t="s">
        <v>494</v>
      </c>
      <c r="G99" s="2">
        <v>5000</v>
      </c>
      <c r="H99" s="2">
        <v>2</v>
      </c>
      <c r="I99" s="2">
        <v>0</v>
      </c>
      <c r="J99" s="2" t="s">
        <v>519</v>
      </c>
      <c r="K99" s="2">
        <v>0</v>
      </c>
      <c r="L99" s="2" t="s">
        <v>17</v>
      </c>
    </row>
    <row r="100" spans="1:12" x14ac:dyDescent="0.25">
      <c r="A100" s="2" t="s">
        <v>279</v>
      </c>
      <c r="B100" s="2" t="s">
        <v>647</v>
      </c>
      <c r="C100" s="2" t="s">
        <v>13</v>
      </c>
      <c r="D100" s="2" t="s">
        <v>20</v>
      </c>
      <c r="E100" s="2" t="s">
        <v>39</v>
      </c>
      <c r="F100" s="2" t="s">
        <v>43</v>
      </c>
      <c r="G100" s="2">
        <v>65000</v>
      </c>
      <c r="H100" s="2">
        <v>3</v>
      </c>
      <c r="I100" s="2">
        <v>0</v>
      </c>
      <c r="J100" s="2" t="s">
        <v>648</v>
      </c>
      <c r="K100" s="2">
        <v>1787.64</v>
      </c>
      <c r="L100" s="2" t="s">
        <v>496</v>
      </c>
    </row>
    <row r="101" spans="1:12" x14ac:dyDescent="0.25">
      <c r="A101" s="2" t="s">
        <v>248</v>
      </c>
      <c r="B101" s="2" t="s">
        <v>649</v>
      </c>
      <c r="C101" s="2" t="s">
        <v>65</v>
      </c>
      <c r="D101" s="2" t="s">
        <v>20</v>
      </c>
      <c r="E101" s="2" t="s">
        <v>39</v>
      </c>
      <c r="F101" s="2" t="s">
        <v>43</v>
      </c>
      <c r="G101" s="2">
        <v>65000</v>
      </c>
      <c r="H101" s="2">
        <v>1</v>
      </c>
      <c r="I101" s="2">
        <v>0.1</v>
      </c>
      <c r="J101" s="2" t="s">
        <v>601</v>
      </c>
      <c r="K101" s="2">
        <v>2289.23</v>
      </c>
      <c r="L101" s="2" t="s">
        <v>33</v>
      </c>
    </row>
    <row r="102" spans="1:12" x14ac:dyDescent="0.25">
      <c r="A102" s="2" t="s">
        <v>310</v>
      </c>
      <c r="B102" s="2" t="s">
        <v>650</v>
      </c>
      <c r="C102" s="2" t="s">
        <v>521</v>
      </c>
      <c r="D102" s="2" t="s">
        <v>506</v>
      </c>
      <c r="E102" s="2" t="s">
        <v>26</v>
      </c>
      <c r="F102" s="2" t="s">
        <v>549</v>
      </c>
      <c r="G102" s="2">
        <v>8000</v>
      </c>
      <c r="H102" s="2">
        <v>3</v>
      </c>
      <c r="I102" s="2">
        <v>0</v>
      </c>
      <c r="J102" s="2" t="s">
        <v>515</v>
      </c>
      <c r="K102" s="2"/>
      <c r="L102" s="2" t="s">
        <v>500</v>
      </c>
    </row>
    <row r="103" spans="1:12" x14ac:dyDescent="0.25">
      <c r="A103" s="2" t="s">
        <v>90</v>
      </c>
      <c r="B103" s="2" t="s">
        <v>651</v>
      </c>
      <c r="C103" s="2" t="s">
        <v>19</v>
      </c>
      <c r="D103" s="2" t="s">
        <v>20</v>
      </c>
      <c r="E103" s="2" t="s">
        <v>26</v>
      </c>
      <c r="F103" s="2" t="s">
        <v>43</v>
      </c>
      <c r="G103" s="2">
        <v>65000</v>
      </c>
      <c r="H103" s="2">
        <v>1</v>
      </c>
      <c r="I103" s="2">
        <v>0.05</v>
      </c>
      <c r="J103" s="2" t="s">
        <v>652</v>
      </c>
      <c r="K103" s="2">
        <v>2257.0500000000002</v>
      </c>
      <c r="L103" s="2" t="s">
        <v>17</v>
      </c>
    </row>
    <row r="104" spans="1:12" x14ac:dyDescent="0.25">
      <c r="A104" s="2" t="s">
        <v>51</v>
      </c>
      <c r="B104" s="2" t="s">
        <v>653</v>
      </c>
      <c r="C104" s="2" t="s">
        <v>13</v>
      </c>
      <c r="D104" s="2" t="s">
        <v>38</v>
      </c>
      <c r="E104" s="2" t="s">
        <v>21</v>
      </c>
      <c r="F104" s="2" t="s">
        <v>41</v>
      </c>
      <c r="G104" s="2">
        <v>15000</v>
      </c>
      <c r="H104" s="2">
        <v>1</v>
      </c>
      <c r="I104" s="2">
        <v>0.15</v>
      </c>
      <c r="J104" s="2" t="s">
        <v>502</v>
      </c>
      <c r="K104" s="2">
        <v>0</v>
      </c>
      <c r="L104" s="2" t="s">
        <v>496</v>
      </c>
    </row>
    <row r="105" spans="1:12" x14ac:dyDescent="0.25">
      <c r="A105" s="2" t="s">
        <v>336</v>
      </c>
      <c r="B105" s="2" t="s">
        <v>654</v>
      </c>
      <c r="C105" s="2" t="s">
        <v>13</v>
      </c>
      <c r="D105" s="2" t="s">
        <v>28</v>
      </c>
      <c r="E105" s="2" t="s">
        <v>39</v>
      </c>
      <c r="F105" s="2" t="s">
        <v>494</v>
      </c>
      <c r="G105" s="2">
        <v>5000</v>
      </c>
      <c r="H105" s="2">
        <v>2</v>
      </c>
      <c r="I105" s="2">
        <v>0</v>
      </c>
      <c r="J105" s="2" t="s">
        <v>519</v>
      </c>
      <c r="K105" s="2">
        <v>0</v>
      </c>
      <c r="L105" s="2" t="s">
        <v>17</v>
      </c>
    </row>
    <row r="106" spans="1:12" x14ac:dyDescent="0.25">
      <c r="A106" s="2" t="s">
        <v>162</v>
      </c>
      <c r="B106" s="2" t="s">
        <v>655</v>
      </c>
      <c r="C106" s="2" t="s">
        <v>65</v>
      </c>
      <c r="D106" s="2" t="s">
        <v>28</v>
      </c>
      <c r="E106" s="2" t="s">
        <v>15</v>
      </c>
      <c r="F106" s="2" t="s">
        <v>22</v>
      </c>
      <c r="G106" s="2">
        <v>35000</v>
      </c>
      <c r="H106" s="2">
        <v>1</v>
      </c>
      <c r="I106" s="2">
        <v>0.2</v>
      </c>
      <c r="J106" s="2" t="s">
        <v>575</v>
      </c>
      <c r="K106" s="2">
        <v>0</v>
      </c>
      <c r="L106" s="2" t="s">
        <v>33</v>
      </c>
    </row>
    <row r="107" spans="1:12" x14ac:dyDescent="0.25">
      <c r="A107" s="2" t="s">
        <v>254</v>
      </c>
      <c r="B107" s="2" t="s">
        <v>656</v>
      </c>
      <c r="C107" s="2" t="s">
        <v>24</v>
      </c>
      <c r="D107" s="2" t="s">
        <v>28</v>
      </c>
      <c r="E107" s="2" t="s">
        <v>522</v>
      </c>
      <c r="F107" s="2" t="s">
        <v>494</v>
      </c>
      <c r="G107" s="2">
        <v>5000</v>
      </c>
      <c r="H107" s="2">
        <v>3</v>
      </c>
      <c r="I107" s="2">
        <v>0</v>
      </c>
      <c r="J107" s="2" t="s">
        <v>526</v>
      </c>
      <c r="K107" s="2">
        <v>0</v>
      </c>
      <c r="L107" s="2" t="s">
        <v>33</v>
      </c>
    </row>
    <row r="108" spans="1:12" x14ac:dyDescent="0.25">
      <c r="A108" s="2" t="s">
        <v>457</v>
      </c>
      <c r="B108" s="2" t="s">
        <v>657</v>
      </c>
      <c r="C108" s="2" t="s">
        <v>511</v>
      </c>
      <c r="D108" s="2" t="s">
        <v>28</v>
      </c>
      <c r="E108" s="2" t="s">
        <v>21</v>
      </c>
      <c r="F108" s="2" t="s">
        <v>549</v>
      </c>
      <c r="G108" s="2">
        <v>8000</v>
      </c>
      <c r="H108" s="2">
        <v>1</v>
      </c>
      <c r="I108" s="2">
        <v>0</v>
      </c>
      <c r="J108" s="2" t="s">
        <v>495</v>
      </c>
      <c r="K108" s="2">
        <v>0</v>
      </c>
      <c r="L108" s="2" t="s">
        <v>33</v>
      </c>
    </row>
    <row r="109" spans="1:12" x14ac:dyDescent="0.25">
      <c r="A109" s="2" t="s">
        <v>321</v>
      </c>
      <c r="B109" s="2" t="s">
        <v>658</v>
      </c>
      <c r="C109" s="2" t="s">
        <v>511</v>
      </c>
      <c r="D109" s="2" t="s">
        <v>32</v>
      </c>
      <c r="E109" s="2" t="s">
        <v>15</v>
      </c>
      <c r="F109" s="2" t="s">
        <v>494</v>
      </c>
      <c r="G109" s="2">
        <v>5000</v>
      </c>
      <c r="H109" s="2">
        <v>1</v>
      </c>
      <c r="I109" s="2">
        <v>0</v>
      </c>
      <c r="J109" s="2" t="s">
        <v>529</v>
      </c>
      <c r="K109" s="2">
        <v>1625.56</v>
      </c>
      <c r="L109" s="2" t="s">
        <v>496</v>
      </c>
    </row>
    <row r="110" spans="1:12" x14ac:dyDescent="0.25">
      <c r="A110" s="2" t="s">
        <v>444</v>
      </c>
      <c r="B110" s="2" t="s">
        <v>659</v>
      </c>
      <c r="C110" s="2" t="s">
        <v>13</v>
      </c>
      <c r="D110" s="2" t="s">
        <v>20</v>
      </c>
      <c r="E110" s="2" t="s">
        <v>49</v>
      </c>
      <c r="F110" s="2" t="s">
        <v>43</v>
      </c>
      <c r="G110" s="2">
        <v>65000</v>
      </c>
      <c r="H110" s="2">
        <v>1</v>
      </c>
      <c r="I110" s="2">
        <v>0</v>
      </c>
      <c r="J110" s="2" t="s">
        <v>523</v>
      </c>
      <c r="K110" s="2">
        <v>903.76</v>
      </c>
      <c r="L110" s="2" t="s">
        <v>500</v>
      </c>
    </row>
    <row r="111" spans="1:12" x14ac:dyDescent="0.25">
      <c r="A111" s="2" t="s">
        <v>251</v>
      </c>
      <c r="B111" s="2" t="s">
        <v>660</v>
      </c>
      <c r="C111" s="2" t="s">
        <v>521</v>
      </c>
      <c r="D111" s="2" t="s">
        <v>20</v>
      </c>
      <c r="E111" s="2" t="s">
        <v>36</v>
      </c>
      <c r="F111" s="2" t="s">
        <v>494</v>
      </c>
      <c r="G111" s="2">
        <v>5000</v>
      </c>
      <c r="H111" s="2">
        <v>3</v>
      </c>
      <c r="I111" s="2">
        <v>0.2</v>
      </c>
      <c r="J111" s="2" t="s">
        <v>589</v>
      </c>
      <c r="K111" s="2">
        <v>1133.6199999999999</v>
      </c>
      <c r="L111" s="2" t="s">
        <v>33</v>
      </c>
    </row>
    <row r="112" spans="1:12" x14ac:dyDescent="0.25">
      <c r="A112" s="2" t="s">
        <v>128</v>
      </c>
      <c r="B112" s="2" t="s">
        <v>661</v>
      </c>
      <c r="C112" s="2" t="s">
        <v>521</v>
      </c>
      <c r="D112" s="2" t="s">
        <v>534</v>
      </c>
      <c r="E112" s="2" t="s">
        <v>36</v>
      </c>
      <c r="F112" s="2" t="s">
        <v>43</v>
      </c>
      <c r="G112" s="2">
        <v>65000</v>
      </c>
      <c r="H112" s="2">
        <v>1</v>
      </c>
      <c r="I112" s="2">
        <v>0</v>
      </c>
      <c r="J112" s="2" t="s">
        <v>523</v>
      </c>
      <c r="K112" s="2">
        <v>2540.61</v>
      </c>
      <c r="L112" s="2" t="s">
        <v>496</v>
      </c>
    </row>
    <row r="113" spans="1:12" x14ac:dyDescent="0.25">
      <c r="A113" s="2" t="s">
        <v>158</v>
      </c>
      <c r="B113" s="2" t="s">
        <v>662</v>
      </c>
      <c r="C113" s="2" t="s">
        <v>24</v>
      </c>
      <c r="D113" s="2" t="s">
        <v>35</v>
      </c>
      <c r="E113" s="2" t="s">
        <v>49</v>
      </c>
      <c r="F113" s="2" t="s">
        <v>494</v>
      </c>
      <c r="G113" s="2">
        <v>5000</v>
      </c>
      <c r="H113" s="2">
        <v>2</v>
      </c>
      <c r="I113" s="2">
        <v>0.2</v>
      </c>
      <c r="J113" s="2" t="s">
        <v>495</v>
      </c>
      <c r="K113" s="2">
        <v>1712.31</v>
      </c>
      <c r="L113" s="2" t="s">
        <v>33</v>
      </c>
    </row>
    <row r="114" spans="1:12" x14ac:dyDescent="0.25">
      <c r="A114" s="2" t="s">
        <v>436</v>
      </c>
      <c r="B114" s="2" t="s">
        <v>663</v>
      </c>
      <c r="C114" s="2" t="s">
        <v>24</v>
      </c>
      <c r="D114" s="2" t="s">
        <v>32</v>
      </c>
      <c r="E114" s="2" t="s">
        <v>36</v>
      </c>
      <c r="F114" s="2" t="s">
        <v>41</v>
      </c>
      <c r="G114" s="2">
        <v>15000</v>
      </c>
      <c r="H114" s="2">
        <v>1</v>
      </c>
      <c r="I114" s="2">
        <v>0.2</v>
      </c>
      <c r="J114" s="2" t="s">
        <v>589</v>
      </c>
      <c r="K114" s="2">
        <v>279.58999999999997</v>
      </c>
      <c r="L114" s="2" t="s">
        <v>500</v>
      </c>
    </row>
    <row r="115" spans="1:12" x14ac:dyDescent="0.25">
      <c r="A115" s="2" t="s">
        <v>451</v>
      </c>
      <c r="B115" s="2" t="s">
        <v>664</v>
      </c>
      <c r="C115" s="2" t="s">
        <v>511</v>
      </c>
      <c r="D115" s="2" t="s">
        <v>20</v>
      </c>
      <c r="E115" s="2" t="s">
        <v>36</v>
      </c>
      <c r="F115" s="2" t="s">
        <v>22</v>
      </c>
      <c r="G115" s="2">
        <v>35000</v>
      </c>
      <c r="H115" s="2">
        <v>3</v>
      </c>
      <c r="I115" s="2">
        <v>0.1</v>
      </c>
      <c r="J115" s="2" t="s">
        <v>665</v>
      </c>
      <c r="K115" s="2">
        <v>2830.37</v>
      </c>
      <c r="L115" s="2" t="s">
        <v>496</v>
      </c>
    </row>
    <row r="116" spans="1:12" x14ac:dyDescent="0.25">
      <c r="A116" s="2" t="s">
        <v>273</v>
      </c>
      <c r="B116" s="2" t="s">
        <v>666</v>
      </c>
      <c r="C116" s="2" t="s">
        <v>19</v>
      </c>
      <c r="D116" s="2" t="s">
        <v>38</v>
      </c>
      <c r="E116" s="2" t="s">
        <v>525</v>
      </c>
      <c r="F116" s="2" t="s">
        <v>22</v>
      </c>
      <c r="G116" s="2">
        <v>35000</v>
      </c>
      <c r="H116" s="2">
        <v>1</v>
      </c>
      <c r="I116" s="2">
        <v>0.2</v>
      </c>
      <c r="J116" s="2" t="s">
        <v>575</v>
      </c>
      <c r="K116" s="2">
        <v>0</v>
      </c>
      <c r="L116" s="2" t="s">
        <v>17</v>
      </c>
    </row>
    <row r="117" spans="1:12" x14ac:dyDescent="0.25">
      <c r="A117" s="2" t="s">
        <v>482</v>
      </c>
      <c r="B117" s="2" t="s">
        <v>667</v>
      </c>
      <c r="C117" s="2" t="s">
        <v>31</v>
      </c>
      <c r="D117" s="2" t="s">
        <v>20</v>
      </c>
      <c r="E117" s="2" t="s">
        <v>21</v>
      </c>
      <c r="F117" s="2" t="s">
        <v>549</v>
      </c>
      <c r="G117" s="2">
        <v>8000</v>
      </c>
      <c r="H117" s="2">
        <v>1</v>
      </c>
      <c r="I117" s="2">
        <v>0.1</v>
      </c>
      <c r="J117" s="2" t="s">
        <v>668</v>
      </c>
      <c r="K117" s="2">
        <v>2072.63</v>
      </c>
      <c r="L117" s="2" t="s">
        <v>17</v>
      </c>
    </row>
    <row r="118" spans="1:12" x14ac:dyDescent="0.25">
      <c r="A118" s="2" t="s">
        <v>476</v>
      </c>
      <c r="B118" s="2" t="s">
        <v>669</v>
      </c>
      <c r="C118" s="2" t="s">
        <v>19</v>
      </c>
      <c r="D118" s="2" t="s">
        <v>578</v>
      </c>
      <c r="E118" s="2" t="s">
        <v>15</v>
      </c>
      <c r="F118" s="2" t="s">
        <v>549</v>
      </c>
      <c r="G118" s="2">
        <v>8000</v>
      </c>
      <c r="H118" s="2">
        <v>2</v>
      </c>
      <c r="I118" s="2">
        <v>0</v>
      </c>
      <c r="J118" s="2" t="s">
        <v>550</v>
      </c>
      <c r="K118" s="2">
        <v>1303.92</v>
      </c>
      <c r="L118" s="2" t="s">
        <v>17</v>
      </c>
    </row>
    <row r="119" spans="1:12" x14ac:dyDescent="0.25">
      <c r="A119" s="2" t="s">
        <v>316</v>
      </c>
      <c r="B119" s="2" t="s">
        <v>670</v>
      </c>
      <c r="C119" s="2" t="s">
        <v>31</v>
      </c>
      <c r="D119" s="2" t="s">
        <v>35</v>
      </c>
      <c r="E119" s="2" t="s">
        <v>21</v>
      </c>
      <c r="F119" s="2" t="s">
        <v>41</v>
      </c>
      <c r="G119" s="2">
        <v>15000</v>
      </c>
      <c r="H119" s="2">
        <v>1</v>
      </c>
      <c r="I119" s="2">
        <v>0.15</v>
      </c>
      <c r="J119" s="2" t="s">
        <v>502</v>
      </c>
      <c r="K119" s="2">
        <v>521.58000000000004</v>
      </c>
      <c r="L119" s="2" t="s">
        <v>500</v>
      </c>
    </row>
    <row r="120" spans="1:12" x14ac:dyDescent="0.25">
      <c r="A120" s="2" t="s">
        <v>180</v>
      </c>
      <c r="B120" s="2" t="s">
        <v>671</v>
      </c>
      <c r="C120" s="2" t="s">
        <v>31</v>
      </c>
      <c r="D120" s="2"/>
      <c r="E120" s="2" t="s">
        <v>36</v>
      </c>
      <c r="F120" s="2" t="s">
        <v>22</v>
      </c>
      <c r="G120" s="2">
        <v>35000</v>
      </c>
      <c r="H120" s="2">
        <v>2</v>
      </c>
      <c r="I120" s="2">
        <v>0.2</v>
      </c>
      <c r="J120" s="2" t="s">
        <v>640</v>
      </c>
      <c r="K120" s="2">
        <v>2723.54</v>
      </c>
      <c r="L120" s="2" t="s">
        <v>33</v>
      </c>
    </row>
    <row r="121" spans="1:12" x14ac:dyDescent="0.25">
      <c r="A121" s="2" t="s">
        <v>124</v>
      </c>
      <c r="B121" s="2" t="s">
        <v>672</v>
      </c>
      <c r="C121" s="2" t="s">
        <v>31</v>
      </c>
      <c r="D121" s="2" t="s">
        <v>35</v>
      </c>
      <c r="E121" s="2" t="s">
        <v>525</v>
      </c>
      <c r="F121" s="2" t="s">
        <v>43</v>
      </c>
      <c r="G121" s="2">
        <v>65000</v>
      </c>
      <c r="H121" s="2">
        <v>3</v>
      </c>
      <c r="I121" s="2">
        <v>0</v>
      </c>
      <c r="J121" s="2" t="s">
        <v>648</v>
      </c>
      <c r="K121" s="2">
        <v>1810.54</v>
      </c>
      <c r="L121" s="2" t="s">
        <v>500</v>
      </c>
    </row>
    <row r="122" spans="1:12" x14ac:dyDescent="0.25">
      <c r="A122" s="2" t="s">
        <v>56</v>
      </c>
      <c r="B122" s="2" t="s">
        <v>673</v>
      </c>
      <c r="C122" s="2" t="s">
        <v>19</v>
      </c>
      <c r="D122" s="2" t="s">
        <v>534</v>
      </c>
      <c r="E122" s="2" t="s">
        <v>26</v>
      </c>
      <c r="F122" s="2" t="s">
        <v>494</v>
      </c>
      <c r="G122" s="2">
        <v>5000</v>
      </c>
      <c r="H122" s="2">
        <v>3</v>
      </c>
      <c r="I122" s="2">
        <v>0</v>
      </c>
      <c r="J122" s="2" t="s">
        <v>526</v>
      </c>
      <c r="K122" s="2">
        <v>2859.49</v>
      </c>
      <c r="L122" s="2" t="s">
        <v>17</v>
      </c>
    </row>
    <row r="123" spans="1:12" x14ac:dyDescent="0.25">
      <c r="A123" s="2" t="s">
        <v>489</v>
      </c>
      <c r="B123" s="2" t="s">
        <v>674</v>
      </c>
      <c r="C123" s="2" t="s">
        <v>511</v>
      </c>
      <c r="D123" s="2" t="s">
        <v>534</v>
      </c>
      <c r="E123" s="2" t="s">
        <v>26</v>
      </c>
      <c r="F123" s="2" t="s">
        <v>549</v>
      </c>
      <c r="G123" s="2">
        <v>8000</v>
      </c>
      <c r="H123" s="2">
        <v>1</v>
      </c>
      <c r="I123" s="2">
        <v>0.15</v>
      </c>
      <c r="J123" s="2" t="s">
        <v>638</v>
      </c>
      <c r="K123" s="2">
        <v>2847.44</v>
      </c>
      <c r="L123" s="2" t="s">
        <v>33</v>
      </c>
    </row>
    <row r="124" spans="1:12" x14ac:dyDescent="0.25">
      <c r="A124" s="2" t="s">
        <v>268</v>
      </c>
      <c r="B124" s="2" t="s">
        <v>675</v>
      </c>
      <c r="C124" s="2" t="s">
        <v>521</v>
      </c>
      <c r="D124" s="2" t="s">
        <v>38</v>
      </c>
      <c r="E124" s="2" t="s">
        <v>522</v>
      </c>
      <c r="F124" s="2" t="s">
        <v>22</v>
      </c>
      <c r="G124" s="2">
        <v>35000</v>
      </c>
      <c r="H124" s="2">
        <v>3</v>
      </c>
      <c r="I124" s="2">
        <v>0</v>
      </c>
      <c r="J124" s="2" t="s">
        <v>676</v>
      </c>
      <c r="K124" s="2">
        <v>0</v>
      </c>
      <c r="L124" s="2" t="s">
        <v>500</v>
      </c>
    </row>
    <row r="125" spans="1:12" x14ac:dyDescent="0.25">
      <c r="A125" s="2" t="s">
        <v>387</v>
      </c>
      <c r="B125" s="2" t="s">
        <v>677</v>
      </c>
      <c r="C125" s="2" t="s">
        <v>81</v>
      </c>
      <c r="D125" s="2" t="s">
        <v>32</v>
      </c>
      <c r="E125" s="2" t="s">
        <v>49</v>
      </c>
      <c r="F125" s="2" t="s">
        <v>22</v>
      </c>
      <c r="G125" s="2">
        <v>35000</v>
      </c>
      <c r="H125" s="2">
        <v>2</v>
      </c>
      <c r="I125" s="2">
        <v>0.05</v>
      </c>
      <c r="J125" s="2" t="s">
        <v>535</v>
      </c>
      <c r="K125" s="2">
        <v>1104.33</v>
      </c>
      <c r="L125" s="2" t="s">
        <v>17</v>
      </c>
    </row>
    <row r="126" spans="1:12" x14ac:dyDescent="0.25">
      <c r="A126" s="2" t="s">
        <v>349</v>
      </c>
      <c r="B126" s="2" t="s">
        <v>678</v>
      </c>
      <c r="C126" s="2" t="s">
        <v>24</v>
      </c>
      <c r="D126" s="2" t="s">
        <v>28</v>
      </c>
      <c r="E126" s="2" t="s">
        <v>21</v>
      </c>
      <c r="F126" s="2" t="s">
        <v>41</v>
      </c>
      <c r="G126" s="2">
        <v>15000</v>
      </c>
      <c r="H126" s="2">
        <v>1</v>
      </c>
      <c r="I126" s="2">
        <v>0.15</v>
      </c>
      <c r="J126" s="2" t="s">
        <v>502</v>
      </c>
      <c r="K126" s="2">
        <v>0</v>
      </c>
      <c r="L126" s="2" t="s">
        <v>33</v>
      </c>
    </row>
    <row r="127" spans="1:12" x14ac:dyDescent="0.25">
      <c r="A127" s="2" t="s">
        <v>111</v>
      </c>
      <c r="B127" s="2" t="s">
        <v>679</v>
      </c>
      <c r="C127" s="2" t="s">
        <v>31</v>
      </c>
      <c r="D127" s="2" t="s">
        <v>20</v>
      </c>
      <c r="E127" s="2"/>
      <c r="F127" s="2" t="s">
        <v>41</v>
      </c>
      <c r="G127" s="2">
        <v>15000</v>
      </c>
      <c r="H127" s="2">
        <v>2</v>
      </c>
      <c r="I127" s="2">
        <v>0.05</v>
      </c>
      <c r="J127" s="2" t="s">
        <v>504</v>
      </c>
      <c r="K127" s="2">
        <v>1231.42</v>
      </c>
      <c r="L127" s="2" t="s">
        <v>33</v>
      </c>
    </row>
    <row r="128" spans="1:12" x14ac:dyDescent="0.25">
      <c r="A128" s="2" t="s">
        <v>44</v>
      </c>
      <c r="B128" s="2" t="s">
        <v>680</v>
      </c>
      <c r="C128" s="2" t="s">
        <v>19</v>
      </c>
      <c r="D128" s="2" t="s">
        <v>514</v>
      </c>
      <c r="E128" s="2" t="s">
        <v>525</v>
      </c>
      <c r="F128" s="2" t="s">
        <v>22</v>
      </c>
      <c r="G128" s="2">
        <v>35000</v>
      </c>
      <c r="H128" s="2">
        <v>2</v>
      </c>
      <c r="I128" s="2">
        <v>0</v>
      </c>
      <c r="J128" s="2" t="s">
        <v>537</v>
      </c>
      <c r="K128" s="2">
        <v>2162.79</v>
      </c>
      <c r="L128" s="2" t="s">
        <v>33</v>
      </c>
    </row>
    <row r="129" spans="1:12" x14ac:dyDescent="0.25">
      <c r="A129" s="2" t="s">
        <v>44</v>
      </c>
      <c r="B129" s="2" t="s">
        <v>680</v>
      </c>
      <c r="C129" s="2" t="s">
        <v>19</v>
      </c>
      <c r="D129" s="2" t="s">
        <v>514</v>
      </c>
      <c r="E129" s="2" t="s">
        <v>525</v>
      </c>
      <c r="F129" s="2" t="s">
        <v>22</v>
      </c>
      <c r="G129" s="2">
        <v>35000</v>
      </c>
      <c r="H129" s="2">
        <v>2</v>
      </c>
      <c r="I129" s="2">
        <v>0</v>
      </c>
      <c r="J129" s="2" t="s">
        <v>537</v>
      </c>
      <c r="K129" s="2">
        <v>2162.79</v>
      </c>
      <c r="L129" s="2" t="s">
        <v>33</v>
      </c>
    </row>
    <row r="130" spans="1:12" x14ac:dyDescent="0.25">
      <c r="A130" s="2" t="s">
        <v>269</v>
      </c>
      <c r="B130" s="2" t="s">
        <v>681</v>
      </c>
      <c r="C130" s="2" t="s">
        <v>19</v>
      </c>
      <c r="D130" s="2" t="s">
        <v>32</v>
      </c>
      <c r="E130" s="2" t="s">
        <v>49</v>
      </c>
      <c r="F130" s="2" t="s">
        <v>43</v>
      </c>
      <c r="G130" s="2">
        <v>65000</v>
      </c>
      <c r="H130" s="2">
        <v>2</v>
      </c>
      <c r="I130" s="2">
        <v>0</v>
      </c>
      <c r="J130" s="2" t="s">
        <v>560</v>
      </c>
      <c r="K130" s="2">
        <v>2268.29</v>
      </c>
      <c r="L130" s="2" t="s">
        <v>496</v>
      </c>
    </row>
    <row r="131" spans="1:12" x14ac:dyDescent="0.25">
      <c r="A131" s="2" t="s">
        <v>466</v>
      </c>
      <c r="B131" s="2" t="s">
        <v>682</v>
      </c>
      <c r="C131" s="2" t="s">
        <v>19</v>
      </c>
      <c r="D131" s="2" t="s">
        <v>32</v>
      </c>
      <c r="E131" s="2" t="s">
        <v>15</v>
      </c>
      <c r="F131" s="2" t="s">
        <v>494</v>
      </c>
      <c r="G131" s="2">
        <v>5000</v>
      </c>
      <c r="H131" s="2">
        <v>2</v>
      </c>
      <c r="I131" s="2">
        <v>0</v>
      </c>
      <c r="J131" s="2" t="s">
        <v>519</v>
      </c>
      <c r="K131" s="2">
        <v>1792.62</v>
      </c>
      <c r="L131" s="2" t="s">
        <v>33</v>
      </c>
    </row>
    <row r="132" spans="1:12" x14ac:dyDescent="0.25">
      <c r="A132" s="2" t="s">
        <v>398</v>
      </c>
      <c r="B132" s="2" t="s">
        <v>683</v>
      </c>
      <c r="C132" s="2" t="s">
        <v>521</v>
      </c>
      <c r="D132" s="2" t="s">
        <v>28</v>
      </c>
      <c r="E132" s="2" t="s">
        <v>522</v>
      </c>
      <c r="F132" s="2" t="s">
        <v>22</v>
      </c>
      <c r="G132" s="2">
        <v>35000</v>
      </c>
      <c r="H132" s="2">
        <v>1</v>
      </c>
      <c r="I132" s="2">
        <v>0.2</v>
      </c>
      <c r="J132" s="2" t="s">
        <v>575</v>
      </c>
      <c r="K132" s="2">
        <v>0</v>
      </c>
      <c r="L132" s="2" t="s">
        <v>496</v>
      </c>
    </row>
    <row r="133" spans="1:12" x14ac:dyDescent="0.25">
      <c r="A133" s="2" t="s">
        <v>146</v>
      </c>
      <c r="B133" s="2" t="s">
        <v>684</v>
      </c>
      <c r="C133" s="2" t="s">
        <v>13</v>
      </c>
      <c r="D133" s="2" t="s">
        <v>498</v>
      </c>
      <c r="E133" s="2" t="s">
        <v>26</v>
      </c>
      <c r="F133" s="2" t="s">
        <v>41</v>
      </c>
      <c r="G133" s="2">
        <v>15000</v>
      </c>
      <c r="H133" s="2">
        <v>3</v>
      </c>
      <c r="I133" s="2">
        <v>0</v>
      </c>
      <c r="J133" s="2" t="s">
        <v>504</v>
      </c>
      <c r="K133" s="2">
        <v>3084.37</v>
      </c>
      <c r="L133" s="2" t="s">
        <v>17</v>
      </c>
    </row>
    <row r="134" spans="1:12" x14ac:dyDescent="0.25">
      <c r="A134" s="2" t="s">
        <v>304</v>
      </c>
      <c r="B134" s="2" t="s">
        <v>685</v>
      </c>
      <c r="C134" s="2" t="s">
        <v>24</v>
      </c>
      <c r="D134" s="2" t="s">
        <v>506</v>
      </c>
      <c r="E134" s="2" t="s">
        <v>21</v>
      </c>
      <c r="F134" s="2" t="s">
        <v>494</v>
      </c>
      <c r="G134" s="2">
        <v>5000</v>
      </c>
      <c r="H134" s="2">
        <v>2</v>
      </c>
      <c r="I134" s="2">
        <v>0.2</v>
      </c>
      <c r="J134" s="2" t="s">
        <v>495</v>
      </c>
      <c r="K134" s="2">
        <v>0</v>
      </c>
      <c r="L134" s="2" t="s">
        <v>33</v>
      </c>
    </row>
    <row r="135" spans="1:12" x14ac:dyDescent="0.25">
      <c r="A135" s="2" t="s">
        <v>187</v>
      </c>
      <c r="B135" s="2" t="s">
        <v>686</v>
      </c>
      <c r="C135" s="2" t="s">
        <v>31</v>
      </c>
      <c r="D135" s="2" t="s">
        <v>32</v>
      </c>
      <c r="E135" s="2" t="s">
        <v>21</v>
      </c>
      <c r="F135" s="2" t="s">
        <v>22</v>
      </c>
      <c r="G135" s="2">
        <v>35000</v>
      </c>
      <c r="H135" s="2">
        <v>1</v>
      </c>
      <c r="I135" s="2">
        <v>0.2</v>
      </c>
      <c r="J135" s="2" t="s">
        <v>575</v>
      </c>
      <c r="K135" s="2">
        <v>2301.9899999999998</v>
      </c>
      <c r="L135" s="2" t="s">
        <v>496</v>
      </c>
    </row>
    <row r="136" spans="1:12" x14ac:dyDescent="0.25">
      <c r="A136" s="2" t="s">
        <v>334</v>
      </c>
      <c r="B136" s="2" t="s">
        <v>687</v>
      </c>
      <c r="C136" s="2" t="s">
        <v>521</v>
      </c>
      <c r="D136" s="2" t="s">
        <v>20</v>
      </c>
      <c r="E136" s="2" t="s">
        <v>21</v>
      </c>
      <c r="F136" s="2" t="s">
        <v>22</v>
      </c>
      <c r="G136" s="2">
        <v>35000</v>
      </c>
      <c r="H136" s="2">
        <v>2</v>
      </c>
      <c r="I136" s="2">
        <v>0.2</v>
      </c>
      <c r="J136" s="2" t="s">
        <v>640</v>
      </c>
      <c r="K136" s="2">
        <v>204.51</v>
      </c>
      <c r="L136" s="2" t="s">
        <v>33</v>
      </c>
    </row>
    <row r="137" spans="1:12" x14ac:dyDescent="0.25">
      <c r="A137" s="2" t="s">
        <v>280</v>
      </c>
      <c r="B137" s="2" t="s">
        <v>688</v>
      </c>
      <c r="C137" s="2" t="s">
        <v>19</v>
      </c>
      <c r="D137" s="2" t="s">
        <v>38</v>
      </c>
      <c r="E137" s="2" t="s">
        <v>15</v>
      </c>
      <c r="F137" s="2" t="s">
        <v>43</v>
      </c>
      <c r="G137" s="2">
        <v>65000</v>
      </c>
      <c r="H137" s="2">
        <v>1</v>
      </c>
      <c r="I137" s="2">
        <v>0.1</v>
      </c>
      <c r="J137" s="2" t="s">
        <v>601</v>
      </c>
      <c r="K137" s="2">
        <v>0</v>
      </c>
      <c r="L137" s="2" t="s">
        <v>33</v>
      </c>
    </row>
    <row r="138" spans="1:12" x14ac:dyDescent="0.25">
      <c r="A138" s="2" t="s">
        <v>85</v>
      </c>
      <c r="B138" s="2" t="s">
        <v>689</v>
      </c>
      <c r="C138" s="2" t="s">
        <v>511</v>
      </c>
      <c r="D138" s="2" t="s">
        <v>35</v>
      </c>
      <c r="E138" s="2" t="s">
        <v>49</v>
      </c>
      <c r="F138" s="2" t="s">
        <v>549</v>
      </c>
      <c r="G138" s="2">
        <v>8000</v>
      </c>
      <c r="H138" s="2">
        <v>2</v>
      </c>
      <c r="I138" s="2">
        <v>0.2</v>
      </c>
      <c r="J138" s="2" t="s">
        <v>690</v>
      </c>
      <c r="K138" s="2">
        <v>262.8</v>
      </c>
      <c r="L138" s="2" t="s">
        <v>33</v>
      </c>
    </row>
    <row r="139" spans="1:12" x14ac:dyDescent="0.25">
      <c r="A139" s="2" t="s">
        <v>290</v>
      </c>
      <c r="B139" s="2" t="s">
        <v>691</v>
      </c>
      <c r="C139" s="2" t="s">
        <v>19</v>
      </c>
      <c r="D139" s="2" t="s">
        <v>28</v>
      </c>
      <c r="E139" s="2" t="s">
        <v>26</v>
      </c>
      <c r="F139" s="2" t="s">
        <v>41</v>
      </c>
      <c r="G139" s="2">
        <v>15000</v>
      </c>
      <c r="H139" s="2">
        <v>2</v>
      </c>
      <c r="I139" s="2">
        <v>0</v>
      </c>
      <c r="J139" s="2" t="s">
        <v>499</v>
      </c>
      <c r="K139" s="2">
        <v>0</v>
      </c>
      <c r="L139" s="2" t="s">
        <v>496</v>
      </c>
    </row>
    <row r="140" spans="1:12" x14ac:dyDescent="0.25">
      <c r="A140" s="2" t="s">
        <v>262</v>
      </c>
      <c r="B140" s="2" t="s">
        <v>692</v>
      </c>
      <c r="C140" s="2" t="s">
        <v>65</v>
      </c>
      <c r="D140" s="2" t="s">
        <v>35</v>
      </c>
      <c r="E140" s="2" t="s">
        <v>49</v>
      </c>
      <c r="F140" s="2" t="s">
        <v>22</v>
      </c>
      <c r="G140" s="2">
        <v>35000</v>
      </c>
      <c r="H140" s="2">
        <v>1</v>
      </c>
      <c r="I140" s="2">
        <v>0</v>
      </c>
      <c r="J140" s="2"/>
      <c r="K140" s="2">
        <v>1538.02</v>
      </c>
      <c r="L140" s="2" t="s">
        <v>496</v>
      </c>
    </row>
    <row r="141" spans="1:12" x14ac:dyDescent="0.25">
      <c r="A141" s="2" t="s">
        <v>439</v>
      </c>
      <c r="B141" s="2" t="s">
        <v>693</v>
      </c>
      <c r="C141" s="2" t="s">
        <v>521</v>
      </c>
      <c r="D141" s="2" t="s">
        <v>28</v>
      </c>
      <c r="E141" s="2" t="s">
        <v>21</v>
      </c>
      <c r="F141" s="2" t="s">
        <v>41</v>
      </c>
      <c r="G141" s="2">
        <v>15000</v>
      </c>
      <c r="H141" s="2">
        <v>1</v>
      </c>
      <c r="I141" s="2">
        <v>0</v>
      </c>
      <c r="J141" s="2" t="s">
        <v>526</v>
      </c>
      <c r="K141" s="2">
        <v>0</v>
      </c>
      <c r="L141" s="2" t="s">
        <v>17</v>
      </c>
    </row>
    <row r="142" spans="1:12" x14ac:dyDescent="0.25">
      <c r="A142" s="2" t="s">
        <v>350</v>
      </c>
      <c r="B142" s="2" t="s">
        <v>694</v>
      </c>
      <c r="C142" s="2" t="s">
        <v>24</v>
      </c>
      <c r="D142" s="2" t="s">
        <v>32</v>
      </c>
      <c r="E142" s="2" t="s">
        <v>26</v>
      </c>
      <c r="F142" s="2" t="s">
        <v>41</v>
      </c>
      <c r="G142" s="2">
        <v>15000</v>
      </c>
      <c r="H142" s="2">
        <v>3</v>
      </c>
      <c r="I142" s="2">
        <v>0.05</v>
      </c>
      <c r="J142" s="2" t="s">
        <v>695</v>
      </c>
      <c r="K142" s="2">
        <v>3050.14</v>
      </c>
      <c r="L142" s="2" t="s">
        <v>500</v>
      </c>
    </row>
    <row r="143" spans="1:12" x14ac:dyDescent="0.25">
      <c r="A143" s="2" t="s">
        <v>462</v>
      </c>
      <c r="B143" s="2" t="s">
        <v>696</v>
      </c>
      <c r="C143" s="2" t="s">
        <v>19</v>
      </c>
      <c r="D143" s="2" t="s">
        <v>534</v>
      </c>
      <c r="E143" s="2" t="s">
        <v>525</v>
      </c>
      <c r="F143" s="2" t="s">
        <v>43</v>
      </c>
      <c r="G143" s="2">
        <v>65000</v>
      </c>
      <c r="H143" s="2">
        <v>2</v>
      </c>
      <c r="I143" s="2">
        <v>0</v>
      </c>
      <c r="J143" s="2" t="s">
        <v>560</v>
      </c>
      <c r="K143" s="2">
        <v>2747.01</v>
      </c>
      <c r="L143" s="2" t="s">
        <v>500</v>
      </c>
    </row>
    <row r="144" spans="1:12" x14ac:dyDescent="0.25">
      <c r="A144" s="2" t="s">
        <v>83</v>
      </c>
      <c r="B144" s="2" t="s">
        <v>697</v>
      </c>
      <c r="C144" s="2" t="s">
        <v>81</v>
      </c>
      <c r="D144" s="2" t="s">
        <v>20</v>
      </c>
      <c r="E144" s="2" t="s">
        <v>49</v>
      </c>
      <c r="F144" s="2" t="s">
        <v>43</v>
      </c>
      <c r="G144" s="2">
        <v>65000</v>
      </c>
      <c r="H144" s="2">
        <v>3</v>
      </c>
      <c r="I144" s="2">
        <v>0.05</v>
      </c>
      <c r="J144" s="2" t="s">
        <v>593</v>
      </c>
      <c r="K144" s="2">
        <v>3348.49</v>
      </c>
      <c r="L144" s="2" t="s">
        <v>33</v>
      </c>
    </row>
    <row r="145" spans="1:12" x14ac:dyDescent="0.25">
      <c r="A145" s="2" t="s">
        <v>75</v>
      </c>
      <c r="B145" s="2" t="s">
        <v>698</v>
      </c>
      <c r="C145" s="2" t="s">
        <v>13</v>
      </c>
      <c r="D145" s="2" t="s">
        <v>578</v>
      </c>
      <c r="E145" s="2" t="s">
        <v>522</v>
      </c>
      <c r="F145" s="2" t="s">
        <v>43</v>
      </c>
      <c r="G145" s="2">
        <v>65000</v>
      </c>
      <c r="H145" s="2">
        <v>1</v>
      </c>
      <c r="I145" s="2">
        <v>0</v>
      </c>
      <c r="J145" s="2" t="s">
        <v>523</v>
      </c>
      <c r="K145" s="2">
        <v>2613.7600000000002</v>
      </c>
      <c r="L145" s="2" t="s">
        <v>17</v>
      </c>
    </row>
    <row r="146" spans="1:12" x14ac:dyDescent="0.25">
      <c r="A146" s="2" t="s">
        <v>159</v>
      </c>
      <c r="B146" s="2" t="s">
        <v>699</v>
      </c>
      <c r="C146" s="2" t="s">
        <v>521</v>
      </c>
      <c r="D146" s="2" t="s">
        <v>506</v>
      </c>
      <c r="E146" s="2" t="s">
        <v>36</v>
      </c>
      <c r="F146" s="2" t="s">
        <v>549</v>
      </c>
      <c r="G146" s="2">
        <v>8000</v>
      </c>
      <c r="H146" s="2">
        <v>2</v>
      </c>
      <c r="I146" s="2">
        <v>0.15</v>
      </c>
      <c r="J146" s="2" t="s">
        <v>629</v>
      </c>
      <c r="K146" s="2">
        <v>0</v>
      </c>
      <c r="L146" s="2" t="s">
        <v>33</v>
      </c>
    </row>
    <row r="147" spans="1:12" x14ac:dyDescent="0.25">
      <c r="A147" s="2" t="s">
        <v>152</v>
      </c>
      <c r="B147" s="2" t="s">
        <v>700</v>
      </c>
      <c r="C147" s="2" t="s">
        <v>19</v>
      </c>
      <c r="D147" s="2" t="s">
        <v>20</v>
      </c>
      <c r="E147" s="2" t="s">
        <v>15</v>
      </c>
      <c r="F147" s="2" t="s">
        <v>41</v>
      </c>
      <c r="G147" s="2">
        <v>15000</v>
      </c>
      <c r="H147" s="2">
        <v>1</v>
      </c>
      <c r="I147" s="2">
        <v>0.1</v>
      </c>
      <c r="J147" s="2" t="s">
        <v>541</v>
      </c>
      <c r="K147" s="2">
        <v>633.75</v>
      </c>
      <c r="L147" s="2" t="s">
        <v>500</v>
      </c>
    </row>
    <row r="148" spans="1:12" x14ac:dyDescent="0.25">
      <c r="A148" s="2" t="s">
        <v>152</v>
      </c>
      <c r="B148" s="2" t="s">
        <v>700</v>
      </c>
      <c r="C148" s="2" t="s">
        <v>19</v>
      </c>
      <c r="D148" s="2" t="s">
        <v>20</v>
      </c>
      <c r="E148" s="2" t="s">
        <v>15</v>
      </c>
      <c r="F148" s="2" t="s">
        <v>41</v>
      </c>
      <c r="G148" s="2">
        <v>15000</v>
      </c>
      <c r="H148" s="2">
        <v>3</v>
      </c>
      <c r="I148" s="2">
        <v>0.1</v>
      </c>
      <c r="J148" s="2" t="s">
        <v>541</v>
      </c>
      <c r="K148" s="2">
        <v>633.75</v>
      </c>
      <c r="L148" s="2" t="s">
        <v>500</v>
      </c>
    </row>
    <row r="149" spans="1:12" x14ac:dyDescent="0.25">
      <c r="A149" s="2" t="s">
        <v>292</v>
      </c>
      <c r="B149" s="2" t="s">
        <v>701</v>
      </c>
      <c r="C149" s="2" t="s">
        <v>13</v>
      </c>
      <c r="D149" s="2" t="s">
        <v>32</v>
      </c>
      <c r="E149" s="2" t="s">
        <v>525</v>
      </c>
      <c r="F149" s="2" t="s">
        <v>22</v>
      </c>
      <c r="G149" s="2">
        <v>35000</v>
      </c>
      <c r="H149" s="2">
        <v>2</v>
      </c>
      <c r="I149" s="2">
        <v>0</v>
      </c>
      <c r="J149" s="2" t="s">
        <v>537</v>
      </c>
      <c r="K149" s="2">
        <v>2156.04</v>
      </c>
      <c r="L149" s="2" t="s">
        <v>17</v>
      </c>
    </row>
    <row r="150" spans="1:12" x14ac:dyDescent="0.25">
      <c r="A150" s="2" t="s">
        <v>341</v>
      </c>
      <c r="B150" s="2" t="s">
        <v>702</v>
      </c>
      <c r="C150" s="2" t="s">
        <v>24</v>
      </c>
      <c r="D150" s="2" t="s">
        <v>506</v>
      </c>
      <c r="E150" s="2" t="s">
        <v>522</v>
      </c>
      <c r="F150" s="2" t="s">
        <v>41</v>
      </c>
      <c r="G150" s="2">
        <v>15000</v>
      </c>
      <c r="H150" s="2">
        <v>1</v>
      </c>
      <c r="I150" s="2">
        <v>0</v>
      </c>
      <c r="J150" s="2" t="s">
        <v>526</v>
      </c>
      <c r="K150" s="2">
        <v>0</v>
      </c>
      <c r="L150" s="2" t="s">
        <v>33</v>
      </c>
    </row>
    <row r="151" spans="1:12" x14ac:dyDescent="0.25">
      <c r="A151" s="2" t="s">
        <v>456</v>
      </c>
      <c r="B151" s="2" t="s">
        <v>703</v>
      </c>
      <c r="C151" s="2" t="s">
        <v>13</v>
      </c>
      <c r="D151" s="2" t="s">
        <v>35</v>
      </c>
      <c r="E151" s="2" t="s">
        <v>39</v>
      </c>
      <c r="F151" s="2" t="s">
        <v>494</v>
      </c>
      <c r="G151" s="2">
        <v>5000</v>
      </c>
      <c r="H151" s="2">
        <v>2</v>
      </c>
      <c r="I151" s="2">
        <v>0</v>
      </c>
      <c r="J151" s="2" t="s">
        <v>519</v>
      </c>
      <c r="K151" s="2">
        <v>2730.64</v>
      </c>
      <c r="L151" s="2" t="s">
        <v>500</v>
      </c>
    </row>
    <row r="152" spans="1:12" x14ac:dyDescent="0.25">
      <c r="A152" s="2" t="s">
        <v>77</v>
      </c>
      <c r="B152" s="2" t="s">
        <v>634</v>
      </c>
      <c r="C152" s="2" t="s">
        <v>65</v>
      </c>
      <c r="D152" s="2"/>
      <c r="E152" s="2" t="s">
        <v>26</v>
      </c>
      <c r="F152" s="2" t="s">
        <v>43</v>
      </c>
      <c r="G152" s="2">
        <v>65000</v>
      </c>
      <c r="H152" s="2">
        <v>2</v>
      </c>
      <c r="I152" s="2">
        <v>0.1</v>
      </c>
      <c r="J152" s="2" t="s">
        <v>507</v>
      </c>
      <c r="K152" s="2">
        <v>2598.9</v>
      </c>
      <c r="L152" s="2" t="s">
        <v>496</v>
      </c>
    </row>
    <row r="153" spans="1:12" x14ac:dyDescent="0.25">
      <c r="A153" s="2" t="s">
        <v>465</v>
      </c>
      <c r="B153" s="2" t="s">
        <v>704</v>
      </c>
      <c r="C153" s="2" t="s">
        <v>13</v>
      </c>
      <c r="D153" s="2" t="s">
        <v>35</v>
      </c>
      <c r="E153" s="2" t="s">
        <v>49</v>
      </c>
      <c r="F153" s="2" t="s">
        <v>549</v>
      </c>
      <c r="G153" s="2">
        <v>8000</v>
      </c>
      <c r="H153" s="2">
        <v>2</v>
      </c>
      <c r="I153" s="2">
        <v>0</v>
      </c>
      <c r="J153" s="2" t="s">
        <v>550</v>
      </c>
      <c r="K153" s="2">
        <v>1292.3499999999999</v>
      </c>
      <c r="L153" s="2" t="s">
        <v>17</v>
      </c>
    </row>
    <row r="154" spans="1:12" x14ac:dyDescent="0.25">
      <c r="A154" s="2" t="s">
        <v>443</v>
      </c>
      <c r="B154" s="2" t="s">
        <v>705</v>
      </c>
      <c r="C154" s="2" t="s">
        <v>13</v>
      </c>
      <c r="D154" s="2" t="s">
        <v>514</v>
      </c>
      <c r="E154" s="2" t="s">
        <v>39</v>
      </c>
      <c r="F154" s="2" t="s">
        <v>41</v>
      </c>
      <c r="G154" s="2">
        <v>15000</v>
      </c>
      <c r="H154" s="2">
        <v>2</v>
      </c>
      <c r="I154" s="2">
        <v>0.05</v>
      </c>
      <c r="J154" s="2" t="s">
        <v>706</v>
      </c>
      <c r="K154" s="2">
        <v>1880.9</v>
      </c>
      <c r="L154" s="2" t="s">
        <v>17</v>
      </c>
    </row>
    <row r="155" spans="1:12" x14ac:dyDescent="0.25">
      <c r="A155" s="2" t="s">
        <v>347</v>
      </c>
      <c r="B155" s="2" t="s">
        <v>707</v>
      </c>
      <c r="C155" s="2" t="s">
        <v>19</v>
      </c>
      <c r="D155" s="2" t="s">
        <v>20</v>
      </c>
      <c r="E155" s="2" t="s">
        <v>39</v>
      </c>
      <c r="F155" s="2" t="s">
        <v>43</v>
      </c>
      <c r="G155" s="2">
        <v>65000</v>
      </c>
      <c r="H155" s="2">
        <v>2</v>
      </c>
      <c r="I155" s="2">
        <v>0</v>
      </c>
      <c r="J155" s="2" t="s">
        <v>560</v>
      </c>
      <c r="K155" s="2">
        <v>1363.45</v>
      </c>
      <c r="L155" s="2" t="s">
        <v>496</v>
      </c>
    </row>
    <row r="156" spans="1:12" x14ac:dyDescent="0.25">
      <c r="A156" s="2" t="s">
        <v>135</v>
      </c>
      <c r="B156" s="2" t="s">
        <v>708</v>
      </c>
      <c r="C156" s="2" t="s">
        <v>65</v>
      </c>
      <c r="D156" s="2" t="s">
        <v>35</v>
      </c>
      <c r="E156" s="2" t="s">
        <v>39</v>
      </c>
      <c r="F156" s="2" t="s">
        <v>549</v>
      </c>
      <c r="G156" s="2">
        <v>8000</v>
      </c>
      <c r="H156" s="2">
        <v>3</v>
      </c>
      <c r="I156" s="2">
        <v>0</v>
      </c>
      <c r="J156" s="2" t="s">
        <v>504</v>
      </c>
      <c r="K156" s="2">
        <v>2072.3200000000002</v>
      </c>
      <c r="L156" s="2" t="s">
        <v>17</v>
      </c>
    </row>
    <row r="157" spans="1:12" x14ac:dyDescent="0.25">
      <c r="A157" s="2" t="s">
        <v>69</v>
      </c>
      <c r="B157" s="2" t="s">
        <v>709</v>
      </c>
      <c r="C157" s="2" t="s">
        <v>24</v>
      </c>
      <c r="D157" s="2" t="s">
        <v>35</v>
      </c>
      <c r="E157" s="2" t="s">
        <v>522</v>
      </c>
      <c r="F157" s="2" t="s">
        <v>22</v>
      </c>
      <c r="G157" s="2">
        <v>35000</v>
      </c>
      <c r="H157" s="2">
        <v>1</v>
      </c>
      <c r="I157" s="2">
        <v>0.05</v>
      </c>
      <c r="J157" s="2" t="s">
        <v>531</v>
      </c>
      <c r="K157" s="2">
        <v>2500.4299999999998</v>
      </c>
      <c r="L157" s="2" t="s">
        <v>17</v>
      </c>
    </row>
    <row r="158" spans="1:12" x14ac:dyDescent="0.25">
      <c r="A158" s="2" t="s">
        <v>168</v>
      </c>
      <c r="B158" s="2" t="s">
        <v>710</v>
      </c>
      <c r="C158" s="2" t="s">
        <v>13</v>
      </c>
      <c r="D158" s="2" t="s">
        <v>578</v>
      </c>
      <c r="E158" s="2" t="s">
        <v>525</v>
      </c>
      <c r="F158" s="2" t="s">
        <v>43</v>
      </c>
      <c r="G158" s="2">
        <v>65000</v>
      </c>
      <c r="H158" s="2">
        <v>2</v>
      </c>
      <c r="I158" s="2">
        <v>0</v>
      </c>
      <c r="J158" s="2" t="s">
        <v>560</v>
      </c>
      <c r="K158" s="2">
        <v>3412.81</v>
      </c>
      <c r="L158" s="2" t="s">
        <v>33</v>
      </c>
    </row>
    <row r="159" spans="1:12" x14ac:dyDescent="0.25">
      <c r="A159" s="2" t="s">
        <v>109</v>
      </c>
      <c r="B159" s="2" t="s">
        <v>711</v>
      </c>
      <c r="C159" s="2" t="s">
        <v>521</v>
      </c>
      <c r="D159" s="2" t="s">
        <v>38</v>
      </c>
      <c r="E159" s="2" t="s">
        <v>36</v>
      </c>
      <c r="F159" s="2" t="s">
        <v>549</v>
      </c>
      <c r="G159" s="2">
        <v>8000</v>
      </c>
      <c r="H159" s="2">
        <v>1</v>
      </c>
      <c r="I159" s="2">
        <v>0</v>
      </c>
      <c r="J159" s="2" t="s">
        <v>495</v>
      </c>
      <c r="K159" s="2">
        <v>0</v>
      </c>
      <c r="L159" s="2" t="s">
        <v>496</v>
      </c>
    </row>
    <row r="160" spans="1:12" x14ac:dyDescent="0.25">
      <c r="A160" s="2" t="s">
        <v>67</v>
      </c>
      <c r="B160" s="2" t="s">
        <v>712</v>
      </c>
      <c r="C160" s="2" t="s">
        <v>31</v>
      </c>
      <c r="D160" s="2" t="s">
        <v>498</v>
      </c>
      <c r="E160" s="2" t="s">
        <v>36</v>
      </c>
      <c r="F160" s="2" t="s">
        <v>41</v>
      </c>
      <c r="G160" s="2">
        <v>15000</v>
      </c>
      <c r="H160" s="2">
        <v>1</v>
      </c>
      <c r="I160" s="2">
        <v>0.15</v>
      </c>
      <c r="J160" s="2" t="s">
        <v>502</v>
      </c>
      <c r="K160" s="2">
        <v>994.84</v>
      </c>
      <c r="L160" s="2" t="s">
        <v>496</v>
      </c>
    </row>
    <row r="161" spans="1:12" x14ac:dyDescent="0.25">
      <c r="A161" s="2" t="s">
        <v>301</v>
      </c>
      <c r="B161" s="2" t="s">
        <v>713</v>
      </c>
      <c r="C161" s="2" t="s">
        <v>13</v>
      </c>
      <c r="D161" s="2" t="s">
        <v>20</v>
      </c>
      <c r="E161" s="2" t="s">
        <v>15</v>
      </c>
      <c r="F161" s="2" t="s">
        <v>22</v>
      </c>
      <c r="G161" s="2">
        <v>35000</v>
      </c>
      <c r="H161" s="2">
        <v>2</v>
      </c>
      <c r="I161" s="2">
        <v>0.1</v>
      </c>
      <c r="J161" s="2" t="s">
        <v>545</v>
      </c>
      <c r="K161" s="2">
        <v>1699.36</v>
      </c>
      <c r="L161" s="2" t="s">
        <v>33</v>
      </c>
    </row>
    <row r="162" spans="1:12" x14ac:dyDescent="0.25">
      <c r="A162" s="2" t="s">
        <v>87</v>
      </c>
      <c r="B162" s="2" t="s">
        <v>714</v>
      </c>
      <c r="C162" s="2" t="s">
        <v>511</v>
      </c>
      <c r="D162" s="2" t="s">
        <v>534</v>
      </c>
      <c r="E162" s="2" t="s">
        <v>522</v>
      </c>
      <c r="F162" s="2" t="s">
        <v>43</v>
      </c>
      <c r="G162" s="2">
        <v>65000</v>
      </c>
      <c r="H162" s="2">
        <v>3</v>
      </c>
      <c r="I162" s="2">
        <v>0.2</v>
      </c>
      <c r="J162" s="2" t="s">
        <v>715</v>
      </c>
      <c r="K162" s="2">
        <v>2230.23</v>
      </c>
      <c r="L162" s="2" t="s">
        <v>500</v>
      </c>
    </row>
    <row r="163" spans="1:12" x14ac:dyDescent="0.25">
      <c r="A163" s="2" t="s">
        <v>151</v>
      </c>
      <c r="B163" s="2" t="s">
        <v>716</v>
      </c>
      <c r="C163" s="2" t="s">
        <v>13</v>
      </c>
      <c r="D163" s="2" t="s">
        <v>35</v>
      </c>
      <c r="E163" s="2" t="s">
        <v>26</v>
      </c>
      <c r="F163" s="2" t="s">
        <v>22</v>
      </c>
      <c r="G163" s="2">
        <v>35000</v>
      </c>
      <c r="H163" s="2">
        <v>2</v>
      </c>
      <c r="I163" s="2">
        <v>0.05</v>
      </c>
      <c r="J163" s="2" t="s">
        <v>535</v>
      </c>
      <c r="K163" s="2">
        <v>671.86</v>
      </c>
      <c r="L163" s="2" t="s">
        <v>33</v>
      </c>
    </row>
    <row r="164" spans="1:12" x14ac:dyDescent="0.25">
      <c r="A164" s="2" t="s">
        <v>153</v>
      </c>
      <c r="B164" s="2" t="s">
        <v>717</v>
      </c>
      <c r="C164" s="2"/>
      <c r="D164" s="2" t="s">
        <v>38</v>
      </c>
      <c r="E164" s="2" t="s">
        <v>21</v>
      </c>
      <c r="F164" s="2" t="s">
        <v>22</v>
      </c>
      <c r="G164" s="2">
        <v>35000</v>
      </c>
      <c r="H164" s="2">
        <v>1</v>
      </c>
      <c r="I164" s="2">
        <v>0.1</v>
      </c>
      <c r="J164" s="2" t="s">
        <v>623</v>
      </c>
      <c r="K164" s="2">
        <v>0</v>
      </c>
      <c r="L164" s="2" t="s">
        <v>17</v>
      </c>
    </row>
    <row r="165" spans="1:12" x14ac:dyDescent="0.25">
      <c r="A165" s="2" t="s">
        <v>481</v>
      </c>
      <c r="B165" s="2" t="s">
        <v>718</v>
      </c>
      <c r="C165" s="2" t="s">
        <v>521</v>
      </c>
      <c r="D165" s="2" t="s">
        <v>514</v>
      </c>
      <c r="E165" s="2" t="s">
        <v>26</v>
      </c>
      <c r="F165" s="2" t="s">
        <v>41</v>
      </c>
      <c r="G165" s="2">
        <v>15000</v>
      </c>
      <c r="H165" s="2">
        <v>3</v>
      </c>
      <c r="I165" s="2">
        <v>0.2</v>
      </c>
      <c r="J165" s="2" t="s">
        <v>585</v>
      </c>
      <c r="K165" s="2">
        <v>2581.38</v>
      </c>
      <c r="L165" s="2" t="s">
        <v>33</v>
      </c>
    </row>
    <row r="166" spans="1:12" x14ac:dyDescent="0.25">
      <c r="A166" s="2" t="s">
        <v>264</v>
      </c>
      <c r="B166" s="2" t="s">
        <v>719</v>
      </c>
      <c r="C166" s="2" t="s">
        <v>31</v>
      </c>
      <c r="D166" s="2" t="s">
        <v>498</v>
      </c>
      <c r="E166" s="2" t="s">
        <v>36</v>
      </c>
      <c r="F166" s="2" t="s">
        <v>549</v>
      </c>
      <c r="G166" s="2">
        <v>8000</v>
      </c>
      <c r="H166" s="2">
        <v>1</v>
      </c>
      <c r="I166" s="2">
        <v>0.05</v>
      </c>
      <c r="J166" s="2" t="s">
        <v>720</v>
      </c>
      <c r="K166" s="2">
        <v>1557.7</v>
      </c>
      <c r="L166" s="2" t="s">
        <v>496</v>
      </c>
    </row>
    <row r="167" spans="1:12" x14ac:dyDescent="0.25">
      <c r="A167" s="2" t="s">
        <v>379</v>
      </c>
      <c r="B167" s="2" t="s">
        <v>721</v>
      </c>
      <c r="C167" s="2" t="s">
        <v>24</v>
      </c>
      <c r="D167" s="2" t="s">
        <v>35</v>
      </c>
      <c r="E167" s="2" t="s">
        <v>522</v>
      </c>
      <c r="F167" s="2" t="s">
        <v>43</v>
      </c>
      <c r="G167" s="2">
        <v>65000</v>
      </c>
      <c r="H167" s="2">
        <v>2</v>
      </c>
      <c r="I167" s="2">
        <v>0.05</v>
      </c>
      <c r="J167" s="2" t="s">
        <v>547</v>
      </c>
      <c r="K167" s="2">
        <v>2922.88</v>
      </c>
      <c r="L167" s="2" t="s">
        <v>17</v>
      </c>
    </row>
    <row r="168" spans="1:12" x14ac:dyDescent="0.25">
      <c r="A168" s="2" t="s">
        <v>141</v>
      </c>
      <c r="B168" s="2" t="s">
        <v>722</v>
      </c>
      <c r="C168" s="2" t="s">
        <v>31</v>
      </c>
      <c r="D168" s="2" t="s">
        <v>534</v>
      </c>
      <c r="E168" s="2" t="s">
        <v>522</v>
      </c>
      <c r="F168" s="2" t="s">
        <v>549</v>
      </c>
      <c r="G168" s="2">
        <v>8000</v>
      </c>
      <c r="H168" s="2">
        <v>1</v>
      </c>
      <c r="I168" s="2">
        <v>0.1</v>
      </c>
      <c r="J168" s="2"/>
      <c r="K168" s="2">
        <v>1587.16</v>
      </c>
      <c r="L168" s="2" t="s">
        <v>17</v>
      </c>
    </row>
    <row r="169" spans="1:12" x14ac:dyDescent="0.25">
      <c r="A169" s="2" t="s">
        <v>145</v>
      </c>
      <c r="B169" s="2" t="s">
        <v>723</v>
      </c>
      <c r="C169" s="2" t="s">
        <v>521</v>
      </c>
      <c r="D169" s="2" t="s">
        <v>578</v>
      </c>
      <c r="E169" s="2"/>
      <c r="F169" s="2" t="s">
        <v>43</v>
      </c>
      <c r="G169" s="2">
        <v>65000</v>
      </c>
      <c r="H169" s="2">
        <v>3</v>
      </c>
      <c r="I169" s="2">
        <v>0.1</v>
      </c>
      <c r="J169" s="2" t="s">
        <v>724</v>
      </c>
      <c r="K169" s="2">
        <v>2615.62</v>
      </c>
      <c r="L169" s="2" t="s">
        <v>496</v>
      </c>
    </row>
    <row r="170" spans="1:12" x14ac:dyDescent="0.25">
      <c r="A170" s="2" t="s">
        <v>270</v>
      </c>
      <c r="B170" s="2" t="s">
        <v>725</v>
      </c>
      <c r="C170" s="2" t="s">
        <v>24</v>
      </c>
      <c r="D170" s="2" t="s">
        <v>506</v>
      </c>
      <c r="E170" s="2" t="s">
        <v>15</v>
      </c>
      <c r="F170" s="2" t="s">
        <v>549</v>
      </c>
      <c r="G170" s="2">
        <v>8000</v>
      </c>
      <c r="H170" s="2">
        <v>1</v>
      </c>
      <c r="I170" s="2">
        <v>0</v>
      </c>
      <c r="J170" s="2" t="s">
        <v>495</v>
      </c>
      <c r="K170" s="2">
        <v>0</v>
      </c>
      <c r="L170" s="2" t="s">
        <v>33</v>
      </c>
    </row>
    <row r="171" spans="1:12" x14ac:dyDescent="0.25">
      <c r="A171" s="2" t="s">
        <v>435</v>
      </c>
      <c r="B171" s="2" t="s">
        <v>586</v>
      </c>
      <c r="C171" s="2" t="s">
        <v>19</v>
      </c>
      <c r="D171" s="2" t="s">
        <v>32</v>
      </c>
      <c r="E171" s="2" t="s">
        <v>15</v>
      </c>
      <c r="F171" s="2" t="s">
        <v>41</v>
      </c>
      <c r="G171" s="2">
        <v>15000</v>
      </c>
      <c r="H171" s="2">
        <v>2</v>
      </c>
      <c r="I171" s="2">
        <v>0.15</v>
      </c>
      <c r="J171" s="2" t="s">
        <v>642</v>
      </c>
      <c r="K171" s="2"/>
      <c r="L171" s="2" t="s">
        <v>33</v>
      </c>
    </row>
    <row r="172" spans="1:12" x14ac:dyDescent="0.25">
      <c r="A172" s="2" t="s">
        <v>435</v>
      </c>
      <c r="B172" s="2" t="s">
        <v>586</v>
      </c>
      <c r="C172" s="2" t="s">
        <v>19</v>
      </c>
      <c r="D172" s="2" t="s">
        <v>32</v>
      </c>
      <c r="E172" s="2" t="s">
        <v>15</v>
      </c>
      <c r="F172" s="2" t="s">
        <v>41</v>
      </c>
      <c r="G172" s="2">
        <v>15000</v>
      </c>
      <c r="H172" s="2">
        <v>2</v>
      </c>
      <c r="I172" s="2">
        <v>0.15</v>
      </c>
      <c r="J172" s="2" t="s">
        <v>642</v>
      </c>
      <c r="K172" s="2"/>
      <c r="L172" s="2" t="s">
        <v>33</v>
      </c>
    </row>
    <row r="173" spans="1:12" x14ac:dyDescent="0.25">
      <c r="A173" s="2" t="s">
        <v>397</v>
      </c>
      <c r="B173" s="2" t="s">
        <v>726</v>
      </c>
      <c r="C173" s="2"/>
      <c r="D173" s="2" t="s">
        <v>506</v>
      </c>
      <c r="E173" s="2" t="s">
        <v>36</v>
      </c>
      <c r="F173" s="2" t="s">
        <v>494</v>
      </c>
      <c r="G173" s="2">
        <v>5000</v>
      </c>
      <c r="H173" s="2">
        <v>1</v>
      </c>
      <c r="I173" s="2">
        <v>0</v>
      </c>
      <c r="J173" s="2" t="s">
        <v>529</v>
      </c>
      <c r="K173" s="2">
        <v>0</v>
      </c>
      <c r="L173" s="2" t="s">
        <v>496</v>
      </c>
    </row>
    <row r="174" spans="1:12" x14ac:dyDescent="0.25">
      <c r="A174" s="2" t="s">
        <v>275</v>
      </c>
      <c r="B174" s="2" t="s">
        <v>727</v>
      </c>
      <c r="C174" s="2" t="s">
        <v>19</v>
      </c>
      <c r="D174" s="2" t="s">
        <v>20</v>
      </c>
      <c r="E174" s="2" t="s">
        <v>522</v>
      </c>
      <c r="F174" s="2" t="s">
        <v>22</v>
      </c>
      <c r="G174" s="2">
        <v>35000</v>
      </c>
      <c r="H174" s="2">
        <v>3</v>
      </c>
      <c r="I174" s="2">
        <v>0.15</v>
      </c>
      <c r="J174" s="2" t="s">
        <v>728</v>
      </c>
      <c r="K174" s="2">
        <v>2070.4499999999998</v>
      </c>
      <c r="L174" s="2" t="s">
        <v>17</v>
      </c>
    </row>
    <row r="175" spans="1:12" x14ac:dyDescent="0.25">
      <c r="A175" s="2" t="s">
        <v>320</v>
      </c>
      <c r="B175" s="2" t="s">
        <v>729</v>
      </c>
      <c r="C175" s="2" t="s">
        <v>19</v>
      </c>
      <c r="D175" s="2" t="s">
        <v>38</v>
      </c>
      <c r="E175" s="2" t="s">
        <v>525</v>
      </c>
      <c r="F175" s="2" t="s">
        <v>41</v>
      </c>
      <c r="G175" s="2">
        <v>15000</v>
      </c>
      <c r="H175" s="2">
        <v>2</v>
      </c>
      <c r="I175" s="2">
        <v>0.1</v>
      </c>
      <c r="J175" s="2" t="s">
        <v>583</v>
      </c>
      <c r="K175" s="2">
        <v>0</v>
      </c>
      <c r="L175" s="2" t="s">
        <v>17</v>
      </c>
    </row>
    <row r="176" spans="1:12" x14ac:dyDescent="0.25">
      <c r="A176" s="2" t="s">
        <v>53</v>
      </c>
      <c r="B176" s="2" t="s">
        <v>730</v>
      </c>
      <c r="C176" s="2" t="s">
        <v>13</v>
      </c>
      <c r="D176" s="2" t="s">
        <v>514</v>
      </c>
      <c r="E176" s="2" t="s">
        <v>21</v>
      </c>
      <c r="F176" s="2" t="s">
        <v>43</v>
      </c>
      <c r="G176" s="2">
        <v>65000</v>
      </c>
      <c r="H176" s="2">
        <v>1</v>
      </c>
      <c r="I176" s="2">
        <v>0</v>
      </c>
      <c r="J176" s="2" t="s">
        <v>523</v>
      </c>
      <c r="K176" s="2">
        <v>406.69</v>
      </c>
      <c r="L176" s="2" t="s">
        <v>33</v>
      </c>
    </row>
    <row r="177" spans="1:12" x14ac:dyDescent="0.25">
      <c r="A177" s="2" t="s">
        <v>365</v>
      </c>
      <c r="B177" s="2" t="s">
        <v>731</v>
      </c>
      <c r="C177" s="2" t="s">
        <v>511</v>
      </c>
      <c r="D177" s="2" t="s">
        <v>32</v>
      </c>
      <c r="E177" s="2" t="s">
        <v>39</v>
      </c>
      <c r="F177" s="2" t="s">
        <v>22</v>
      </c>
      <c r="G177" s="2">
        <v>35000</v>
      </c>
      <c r="H177" s="2">
        <v>1</v>
      </c>
      <c r="I177" s="2">
        <v>0.15</v>
      </c>
      <c r="J177" s="2" t="s">
        <v>608</v>
      </c>
      <c r="K177" s="2">
        <v>351.44</v>
      </c>
      <c r="L177" s="2" t="s">
        <v>17</v>
      </c>
    </row>
    <row r="178" spans="1:12" x14ac:dyDescent="0.25">
      <c r="A178" s="2" t="s">
        <v>119</v>
      </c>
      <c r="B178" s="2" t="s">
        <v>732</v>
      </c>
      <c r="C178" s="2"/>
      <c r="D178" s="2" t="s">
        <v>32</v>
      </c>
      <c r="E178" s="2" t="s">
        <v>21</v>
      </c>
      <c r="F178" s="2" t="s">
        <v>43</v>
      </c>
      <c r="G178" s="2">
        <v>65000</v>
      </c>
      <c r="H178" s="2">
        <v>1</v>
      </c>
      <c r="I178" s="2">
        <v>0.05</v>
      </c>
      <c r="J178" s="2" t="s">
        <v>652</v>
      </c>
      <c r="K178" s="2">
        <v>3281.99</v>
      </c>
      <c r="L178" s="2" t="s">
        <v>33</v>
      </c>
    </row>
    <row r="179" spans="1:12" x14ac:dyDescent="0.25">
      <c r="A179" s="2" t="s">
        <v>337</v>
      </c>
      <c r="B179" s="2" t="s">
        <v>697</v>
      </c>
      <c r="C179" s="2" t="s">
        <v>24</v>
      </c>
      <c r="D179" s="2" t="s">
        <v>534</v>
      </c>
      <c r="E179" s="2" t="s">
        <v>39</v>
      </c>
      <c r="F179" s="2" t="s">
        <v>43</v>
      </c>
      <c r="G179" s="2">
        <v>65000</v>
      </c>
      <c r="H179" s="2">
        <v>3</v>
      </c>
      <c r="I179" s="2">
        <v>0</v>
      </c>
      <c r="J179" s="2" t="s">
        <v>648</v>
      </c>
      <c r="K179" s="2">
        <v>1242.3900000000001</v>
      </c>
      <c r="L179" s="2" t="s">
        <v>17</v>
      </c>
    </row>
    <row r="180" spans="1:12" x14ac:dyDescent="0.25">
      <c r="A180" s="2" t="s">
        <v>407</v>
      </c>
      <c r="B180" s="2" t="s">
        <v>733</v>
      </c>
      <c r="C180" s="2" t="s">
        <v>65</v>
      </c>
      <c r="D180" s="2" t="s">
        <v>38</v>
      </c>
      <c r="E180" s="2" t="s">
        <v>39</v>
      </c>
      <c r="F180" s="2" t="s">
        <v>22</v>
      </c>
      <c r="G180" s="2">
        <v>35000</v>
      </c>
      <c r="H180" s="2">
        <v>3</v>
      </c>
      <c r="I180" s="2">
        <v>0.15</v>
      </c>
      <c r="J180" s="2" t="s">
        <v>728</v>
      </c>
      <c r="K180" s="2">
        <v>0</v>
      </c>
      <c r="L180" s="2" t="s">
        <v>496</v>
      </c>
    </row>
    <row r="181" spans="1:12" x14ac:dyDescent="0.25">
      <c r="A181" s="2" t="s">
        <v>415</v>
      </c>
      <c r="B181" s="2" t="s">
        <v>734</v>
      </c>
      <c r="C181" s="2" t="s">
        <v>521</v>
      </c>
      <c r="D181" s="2" t="s">
        <v>38</v>
      </c>
      <c r="E181" s="2" t="s">
        <v>49</v>
      </c>
      <c r="F181" s="2" t="s">
        <v>41</v>
      </c>
      <c r="G181" s="2">
        <v>15000</v>
      </c>
      <c r="H181" s="2">
        <v>3</v>
      </c>
      <c r="I181" s="2">
        <v>0</v>
      </c>
      <c r="J181" s="2" t="s">
        <v>517</v>
      </c>
      <c r="K181" s="2">
        <v>0</v>
      </c>
      <c r="L181" s="2" t="s">
        <v>500</v>
      </c>
    </row>
    <row r="182" spans="1:12" x14ac:dyDescent="0.25">
      <c r="A182" s="2" t="s">
        <v>170</v>
      </c>
      <c r="B182" s="2" t="s">
        <v>735</v>
      </c>
      <c r="C182" s="2" t="s">
        <v>65</v>
      </c>
      <c r="D182" s="2" t="s">
        <v>20</v>
      </c>
      <c r="E182" s="2" t="s">
        <v>36</v>
      </c>
      <c r="F182" s="2" t="s">
        <v>494</v>
      </c>
      <c r="G182" s="2">
        <v>5000</v>
      </c>
      <c r="H182" s="2">
        <v>3</v>
      </c>
      <c r="I182" s="2">
        <v>0</v>
      </c>
      <c r="J182" s="2" t="s">
        <v>526</v>
      </c>
      <c r="K182" s="2">
        <v>2496.64</v>
      </c>
      <c r="L182" s="2" t="s">
        <v>33</v>
      </c>
    </row>
    <row r="183" spans="1:12" x14ac:dyDescent="0.25">
      <c r="A183" s="2" t="s">
        <v>406</v>
      </c>
      <c r="B183" s="2" t="s">
        <v>736</v>
      </c>
      <c r="C183" s="2" t="s">
        <v>13</v>
      </c>
      <c r="D183" s="2" t="s">
        <v>28</v>
      </c>
      <c r="E183" s="2" t="s">
        <v>49</v>
      </c>
      <c r="F183" s="2" t="s">
        <v>22</v>
      </c>
      <c r="G183" s="2">
        <v>35000</v>
      </c>
      <c r="H183" s="2">
        <v>1</v>
      </c>
      <c r="I183" s="2">
        <v>0.2</v>
      </c>
      <c r="J183" s="2" t="s">
        <v>575</v>
      </c>
      <c r="K183" s="2">
        <v>0</v>
      </c>
      <c r="L183" s="2" t="s">
        <v>17</v>
      </c>
    </row>
    <row r="184" spans="1:12" x14ac:dyDescent="0.25">
      <c r="A184" s="2" t="s">
        <v>118</v>
      </c>
      <c r="B184" s="2" t="s">
        <v>737</v>
      </c>
      <c r="C184" s="2" t="s">
        <v>24</v>
      </c>
      <c r="D184" s="2" t="s">
        <v>38</v>
      </c>
      <c r="E184" s="2" t="s">
        <v>49</v>
      </c>
      <c r="F184" s="2" t="s">
        <v>22</v>
      </c>
      <c r="G184" s="2">
        <v>35000</v>
      </c>
      <c r="H184" s="2">
        <v>3</v>
      </c>
      <c r="I184" s="2">
        <v>0</v>
      </c>
      <c r="J184" s="2" t="s">
        <v>676</v>
      </c>
      <c r="K184" s="2">
        <v>0</v>
      </c>
      <c r="L184" s="2" t="s">
        <v>17</v>
      </c>
    </row>
    <row r="185" spans="1:12" x14ac:dyDescent="0.25">
      <c r="A185" s="2" t="s">
        <v>381</v>
      </c>
      <c r="B185" s="2" t="s">
        <v>738</v>
      </c>
      <c r="C185" s="2" t="s">
        <v>13</v>
      </c>
      <c r="D185" s="2" t="s">
        <v>534</v>
      </c>
      <c r="E185" s="2" t="s">
        <v>49</v>
      </c>
      <c r="F185" s="2" t="s">
        <v>549</v>
      </c>
      <c r="G185" s="2">
        <v>8000</v>
      </c>
      <c r="H185" s="2">
        <v>2</v>
      </c>
      <c r="I185" s="2">
        <v>0</v>
      </c>
      <c r="J185" s="2" t="s">
        <v>550</v>
      </c>
      <c r="K185" s="2">
        <v>3155.09</v>
      </c>
      <c r="L185" s="2" t="s">
        <v>33</v>
      </c>
    </row>
    <row r="186" spans="1:12" x14ac:dyDescent="0.25">
      <c r="A186" s="2" t="s">
        <v>328</v>
      </c>
      <c r="B186" s="2" t="s">
        <v>577</v>
      </c>
      <c r="C186" s="2" t="s">
        <v>13</v>
      </c>
      <c r="D186" s="2" t="s">
        <v>534</v>
      </c>
      <c r="E186" s="2" t="s">
        <v>15</v>
      </c>
      <c r="F186" s="2" t="s">
        <v>22</v>
      </c>
      <c r="G186" s="2">
        <v>35000</v>
      </c>
      <c r="H186" s="2">
        <v>3</v>
      </c>
      <c r="I186" s="2">
        <v>0.15</v>
      </c>
      <c r="J186" s="2" t="s">
        <v>728</v>
      </c>
      <c r="K186" s="2">
        <v>1726.98</v>
      </c>
      <c r="L186" s="2" t="s">
        <v>17</v>
      </c>
    </row>
    <row r="187" spans="1:12" x14ac:dyDescent="0.25">
      <c r="A187" s="2" t="s">
        <v>449</v>
      </c>
      <c r="B187" s="2" t="s">
        <v>739</v>
      </c>
      <c r="C187" s="2" t="s">
        <v>19</v>
      </c>
      <c r="D187" s="2" t="s">
        <v>20</v>
      </c>
      <c r="E187" s="2" t="s">
        <v>49</v>
      </c>
      <c r="F187" s="2" t="s">
        <v>549</v>
      </c>
      <c r="G187" s="2">
        <v>8000</v>
      </c>
      <c r="H187" s="2">
        <v>1</v>
      </c>
      <c r="I187" s="2">
        <v>0</v>
      </c>
      <c r="J187" s="2" t="s">
        <v>495</v>
      </c>
      <c r="K187" s="2">
        <v>1972.94</v>
      </c>
      <c r="L187" s="2" t="s">
        <v>33</v>
      </c>
    </row>
    <row r="188" spans="1:12" x14ac:dyDescent="0.25">
      <c r="A188" s="2" t="s">
        <v>394</v>
      </c>
      <c r="B188" s="2" t="s">
        <v>740</v>
      </c>
      <c r="C188" s="2"/>
      <c r="D188" s="2" t="s">
        <v>534</v>
      </c>
      <c r="E188" s="2" t="s">
        <v>39</v>
      </c>
      <c r="F188" s="2" t="s">
        <v>22</v>
      </c>
      <c r="G188" s="2">
        <v>35000</v>
      </c>
      <c r="H188" s="2">
        <v>1</v>
      </c>
      <c r="I188" s="2">
        <v>0.2</v>
      </c>
      <c r="J188" s="2" t="s">
        <v>575</v>
      </c>
      <c r="K188" s="2">
        <v>1011.47</v>
      </c>
      <c r="L188" s="2" t="s">
        <v>17</v>
      </c>
    </row>
    <row r="189" spans="1:12" x14ac:dyDescent="0.25">
      <c r="A189" s="2" t="s">
        <v>302</v>
      </c>
      <c r="B189" s="2" t="s">
        <v>741</v>
      </c>
      <c r="C189" s="2" t="s">
        <v>65</v>
      </c>
      <c r="D189" s="2" t="s">
        <v>534</v>
      </c>
      <c r="E189" s="2" t="s">
        <v>525</v>
      </c>
      <c r="F189" s="2" t="s">
        <v>22</v>
      </c>
      <c r="G189" s="2">
        <v>35000</v>
      </c>
      <c r="H189" s="2">
        <v>1</v>
      </c>
      <c r="I189" s="2">
        <v>0</v>
      </c>
      <c r="J189" s="2" t="s">
        <v>616</v>
      </c>
      <c r="K189" s="2">
        <v>3224.15</v>
      </c>
      <c r="L189" s="2" t="s">
        <v>496</v>
      </c>
    </row>
    <row r="190" spans="1:12" x14ac:dyDescent="0.25">
      <c r="A190" s="2" t="s">
        <v>12</v>
      </c>
      <c r="B190" s="2" t="s">
        <v>742</v>
      </c>
      <c r="C190" s="2" t="s">
        <v>13</v>
      </c>
      <c r="D190" s="2" t="s">
        <v>506</v>
      </c>
      <c r="E190" s="2" t="s">
        <v>15</v>
      </c>
      <c r="F190" s="2" t="s">
        <v>494</v>
      </c>
      <c r="G190" s="2">
        <v>5000</v>
      </c>
      <c r="H190" s="2">
        <v>1</v>
      </c>
      <c r="I190" s="2">
        <v>0</v>
      </c>
      <c r="J190" s="2" t="s">
        <v>529</v>
      </c>
      <c r="K190" s="2">
        <v>0</v>
      </c>
      <c r="L190" s="2" t="s">
        <v>496</v>
      </c>
    </row>
    <row r="191" spans="1:12" x14ac:dyDescent="0.25">
      <c r="A191" s="2" t="s">
        <v>431</v>
      </c>
      <c r="B191" s="2" t="s">
        <v>743</v>
      </c>
      <c r="C191" s="2" t="s">
        <v>24</v>
      </c>
      <c r="D191" s="2" t="s">
        <v>20</v>
      </c>
      <c r="E191" s="2"/>
      <c r="F191" s="2" t="s">
        <v>494</v>
      </c>
      <c r="G191" s="2">
        <v>5000</v>
      </c>
      <c r="H191" s="2">
        <v>1</v>
      </c>
      <c r="I191" s="2">
        <v>0.1</v>
      </c>
      <c r="J191" s="2" t="s">
        <v>567</v>
      </c>
      <c r="K191" s="2">
        <v>1868.58</v>
      </c>
      <c r="L191" s="2" t="s">
        <v>500</v>
      </c>
    </row>
    <row r="192" spans="1:12" x14ac:dyDescent="0.25">
      <c r="A192" s="2" t="s">
        <v>131</v>
      </c>
      <c r="B192" s="2" t="s">
        <v>744</v>
      </c>
      <c r="C192" s="2" t="s">
        <v>24</v>
      </c>
      <c r="D192" s="2" t="s">
        <v>35</v>
      </c>
      <c r="E192" s="2" t="s">
        <v>522</v>
      </c>
      <c r="F192" s="2" t="s">
        <v>549</v>
      </c>
      <c r="G192" s="2">
        <v>8000</v>
      </c>
      <c r="H192" s="2">
        <v>1</v>
      </c>
      <c r="I192" s="2">
        <v>0</v>
      </c>
      <c r="J192" s="2" t="s">
        <v>495</v>
      </c>
      <c r="K192" s="2">
        <v>976.64</v>
      </c>
      <c r="L192" s="2" t="s">
        <v>33</v>
      </c>
    </row>
    <row r="193" spans="1:12" x14ac:dyDescent="0.25">
      <c r="A193" s="2" t="s">
        <v>125</v>
      </c>
      <c r="B193" s="2" t="s">
        <v>745</v>
      </c>
      <c r="C193" s="2" t="s">
        <v>521</v>
      </c>
      <c r="D193" s="2" t="s">
        <v>514</v>
      </c>
      <c r="E193" s="2" t="s">
        <v>39</v>
      </c>
      <c r="F193" s="2" t="s">
        <v>22</v>
      </c>
      <c r="G193" s="2">
        <v>35000</v>
      </c>
      <c r="H193" s="2">
        <v>1</v>
      </c>
      <c r="I193" s="2">
        <v>0.05</v>
      </c>
      <c r="J193" s="2" t="s">
        <v>531</v>
      </c>
      <c r="K193" s="2">
        <v>3013.69</v>
      </c>
      <c r="L193" s="2" t="s">
        <v>496</v>
      </c>
    </row>
    <row r="194" spans="1:12" x14ac:dyDescent="0.25">
      <c r="A194" s="2" t="s">
        <v>73</v>
      </c>
      <c r="B194" s="2" t="s">
        <v>746</v>
      </c>
      <c r="C194" s="2" t="s">
        <v>13</v>
      </c>
      <c r="D194" s="2" t="s">
        <v>20</v>
      </c>
      <c r="E194" s="2" t="s">
        <v>26</v>
      </c>
      <c r="F194" s="2" t="s">
        <v>41</v>
      </c>
      <c r="G194" s="2">
        <v>15000</v>
      </c>
      <c r="H194" s="2">
        <v>1</v>
      </c>
      <c r="I194" s="2">
        <v>0.1</v>
      </c>
      <c r="J194" s="2" t="s">
        <v>541</v>
      </c>
      <c r="K194" s="2"/>
      <c r="L194" s="2" t="s">
        <v>33</v>
      </c>
    </row>
    <row r="195" spans="1:12" x14ac:dyDescent="0.25">
      <c r="A195" s="2" t="s">
        <v>73</v>
      </c>
      <c r="B195" s="2" t="s">
        <v>746</v>
      </c>
      <c r="C195" s="2" t="s">
        <v>13</v>
      </c>
      <c r="D195" s="2" t="s">
        <v>20</v>
      </c>
      <c r="E195" s="2" t="s">
        <v>26</v>
      </c>
      <c r="F195" s="2" t="s">
        <v>41</v>
      </c>
      <c r="G195" s="2">
        <v>15000</v>
      </c>
      <c r="H195" s="2">
        <v>1</v>
      </c>
      <c r="I195" s="2">
        <v>0.1</v>
      </c>
      <c r="J195" s="2" t="s">
        <v>541</v>
      </c>
      <c r="K195" s="2"/>
      <c r="L195" s="2" t="s">
        <v>33</v>
      </c>
    </row>
    <row r="196" spans="1:12" x14ac:dyDescent="0.25">
      <c r="A196" s="2" t="s">
        <v>414</v>
      </c>
      <c r="B196" s="2" t="s">
        <v>747</v>
      </c>
      <c r="C196" s="2" t="s">
        <v>19</v>
      </c>
      <c r="D196" s="2" t="s">
        <v>38</v>
      </c>
      <c r="E196" s="2" t="s">
        <v>525</v>
      </c>
      <c r="F196" s="2" t="s">
        <v>549</v>
      </c>
      <c r="G196" s="2">
        <v>8000</v>
      </c>
      <c r="H196" s="2">
        <v>1</v>
      </c>
      <c r="I196" s="2">
        <v>0.1</v>
      </c>
      <c r="J196" s="2" t="s">
        <v>668</v>
      </c>
      <c r="K196" s="2">
        <v>0</v>
      </c>
      <c r="L196" s="2" t="s">
        <v>33</v>
      </c>
    </row>
    <row r="197" spans="1:12" x14ac:dyDescent="0.25">
      <c r="A197" s="2" t="s">
        <v>391</v>
      </c>
      <c r="B197" s="2" t="s">
        <v>748</v>
      </c>
      <c r="C197" s="2" t="s">
        <v>19</v>
      </c>
      <c r="D197" s="2" t="s">
        <v>20</v>
      </c>
      <c r="E197" s="2" t="s">
        <v>15</v>
      </c>
      <c r="F197" s="2" t="s">
        <v>43</v>
      </c>
      <c r="G197" s="2">
        <v>65000</v>
      </c>
      <c r="H197" s="2">
        <v>1</v>
      </c>
      <c r="I197" s="2">
        <v>0</v>
      </c>
      <c r="J197" s="2" t="s">
        <v>523</v>
      </c>
      <c r="K197" s="2">
        <v>3194.11</v>
      </c>
      <c r="L197" s="2" t="s">
        <v>496</v>
      </c>
    </row>
    <row r="198" spans="1:12" x14ac:dyDescent="0.25">
      <c r="A198" s="2" t="s">
        <v>490</v>
      </c>
      <c r="B198" s="2" t="s">
        <v>749</v>
      </c>
      <c r="C198" s="2" t="s">
        <v>24</v>
      </c>
      <c r="D198" s="2" t="s">
        <v>35</v>
      </c>
      <c r="E198" s="2" t="s">
        <v>49</v>
      </c>
      <c r="F198" s="2" t="s">
        <v>549</v>
      </c>
      <c r="G198" s="2">
        <v>8000</v>
      </c>
      <c r="H198" s="2">
        <v>1</v>
      </c>
      <c r="I198" s="2">
        <v>0</v>
      </c>
      <c r="J198" s="2" t="s">
        <v>495</v>
      </c>
      <c r="K198" s="2">
        <v>1603.69</v>
      </c>
      <c r="L198" s="2" t="s">
        <v>500</v>
      </c>
    </row>
    <row r="199" spans="1:12" x14ac:dyDescent="0.25">
      <c r="A199" s="2" t="s">
        <v>228</v>
      </c>
      <c r="B199" s="2" t="s">
        <v>750</v>
      </c>
      <c r="C199" s="2" t="s">
        <v>521</v>
      </c>
      <c r="D199" s="2" t="s">
        <v>38</v>
      </c>
      <c r="E199" s="2" t="s">
        <v>21</v>
      </c>
      <c r="F199" s="2" t="s">
        <v>549</v>
      </c>
      <c r="G199" s="2">
        <v>8000</v>
      </c>
      <c r="H199" s="2">
        <v>2</v>
      </c>
      <c r="I199" s="2">
        <v>0</v>
      </c>
      <c r="J199" s="2" t="s">
        <v>550</v>
      </c>
      <c r="K199" s="2">
        <v>0</v>
      </c>
      <c r="L199" s="2" t="s">
        <v>33</v>
      </c>
    </row>
    <row r="200" spans="1:12" x14ac:dyDescent="0.25">
      <c r="A200" s="2" t="s">
        <v>228</v>
      </c>
      <c r="B200" s="2" t="s">
        <v>750</v>
      </c>
      <c r="C200" s="2" t="s">
        <v>521</v>
      </c>
      <c r="D200" s="2" t="s">
        <v>38</v>
      </c>
      <c r="E200" s="2" t="s">
        <v>21</v>
      </c>
      <c r="F200" s="2" t="s">
        <v>549</v>
      </c>
      <c r="G200" s="2">
        <v>8000</v>
      </c>
      <c r="H200" s="2">
        <v>2</v>
      </c>
      <c r="I200" s="2">
        <v>0</v>
      </c>
      <c r="J200" s="2" t="s">
        <v>550</v>
      </c>
      <c r="K200" s="2">
        <v>0</v>
      </c>
      <c r="L200" s="2" t="s">
        <v>33</v>
      </c>
    </row>
    <row r="201" spans="1:12" x14ac:dyDescent="0.25">
      <c r="A201" s="2" t="s">
        <v>137</v>
      </c>
      <c r="B201" s="2" t="s">
        <v>751</v>
      </c>
      <c r="C201" s="2" t="s">
        <v>31</v>
      </c>
      <c r="D201" s="2" t="s">
        <v>28</v>
      </c>
      <c r="E201" s="2" t="s">
        <v>525</v>
      </c>
      <c r="F201" s="2" t="s">
        <v>22</v>
      </c>
      <c r="G201" s="2">
        <v>35000</v>
      </c>
      <c r="H201" s="2">
        <v>2</v>
      </c>
      <c r="I201" s="2">
        <v>0.15</v>
      </c>
      <c r="J201" s="2" t="s">
        <v>611</v>
      </c>
      <c r="K201" s="2">
        <v>0</v>
      </c>
      <c r="L201" s="2" t="s">
        <v>17</v>
      </c>
    </row>
    <row r="202" spans="1:12" x14ac:dyDescent="0.25">
      <c r="A202" s="2" t="s">
        <v>324</v>
      </c>
      <c r="B202" s="2" t="s">
        <v>752</v>
      </c>
      <c r="C202" s="2" t="s">
        <v>13</v>
      </c>
      <c r="D202" s="2" t="s">
        <v>534</v>
      </c>
      <c r="E202" s="2" t="s">
        <v>39</v>
      </c>
      <c r="F202" s="2" t="s">
        <v>494</v>
      </c>
      <c r="G202" s="2">
        <v>5000</v>
      </c>
      <c r="H202" s="2">
        <v>1</v>
      </c>
      <c r="I202" s="2">
        <v>0.15</v>
      </c>
      <c r="J202" s="2" t="s">
        <v>509</v>
      </c>
      <c r="K202" s="2">
        <v>2522.42</v>
      </c>
      <c r="L202" s="2" t="s">
        <v>17</v>
      </c>
    </row>
    <row r="203" spans="1:12" x14ac:dyDescent="0.25">
      <c r="A203" s="2" t="s">
        <v>333</v>
      </c>
      <c r="B203" s="2" t="s">
        <v>753</v>
      </c>
      <c r="C203" s="2" t="s">
        <v>13</v>
      </c>
      <c r="D203" s="2" t="s">
        <v>28</v>
      </c>
      <c r="E203" s="2" t="s">
        <v>525</v>
      </c>
      <c r="F203" s="2" t="s">
        <v>549</v>
      </c>
      <c r="G203" s="2">
        <v>8000</v>
      </c>
      <c r="H203" s="2">
        <v>1</v>
      </c>
      <c r="I203" s="2">
        <v>0</v>
      </c>
      <c r="J203" s="2" t="s">
        <v>495</v>
      </c>
      <c r="K203" s="2">
        <v>0</v>
      </c>
      <c r="L203" s="2" t="s">
        <v>496</v>
      </c>
    </row>
    <row r="204" spans="1:12" x14ac:dyDescent="0.25">
      <c r="A204" s="2" t="s">
        <v>354</v>
      </c>
      <c r="B204" s="2" t="s">
        <v>754</v>
      </c>
      <c r="C204" s="2" t="s">
        <v>81</v>
      </c>
      <c r="D204" s="2" t="s">
        <v>35</v>
      </c>
      <c r="E204" s="2" t="s">
        <v>21</v>
      </c>
      <c r="F204" s="2" t="s">
        <v>22</v>
      </c>
      <c r="G204" s="2">
        <v>35000</v>
      </c>
      <c r="H204" s="2">
        <v>2</v>
      </c>
      <c r="I204" s="2">
        <v>0.1</v>
      </c>
      <c r="J204" s="2" t="s">
        <v>545</v>
      </c>
      <c r="K204" s="2">
        <v>501.7</v>
      </c>
      <c r="L204" s="2" t="s">
        <v>496</v>
      </c>
    </row>
    <row r="205" spans="1:12" x14ac:dyDescent="0.25">
      <c r="A205" s="2" t="s">
        <v>116</v>
      </c>
      <c r="B205" s="2" t="s">
        <v>755</v>
      </c>
      <c r="C205" s="2" t="s">
        <v>65</v>
      </c>
      <c r="D205" s="2" t="s">
        <v>534</v>
      </c>
      <c r="E205" s="2" t="s">
        <v>39</v>
      </c>
      <c r="F205" s="2" t="s">
        <v>494</v>
      </c>
      <c r="G205" s="2">
        <v>5000</v>
      </c>
      <c r="H205" s="2">
        <v>1</v>
      </c>
      <c r="I205" s="2">
        <v>0</v>
      </c>
      <c r="J205" s="2" t="s">
        <v>529</v>
      </c>
      <c r="K205" s="2">
        <v>1175.81</v>
      </c>
      <c r="L205" s="2" t="s">
        <v>17</v>
      </c>
    </row>
    <row r="206" spans="1:12" x14ac:dyDescent="0.25">
      <c r="A206" s="2" t="s">
        <v>319</v>
      </c>
      <c r="B206" s="2" t="s">
        <v>756</v>
      </c>
      <c r="C206" s="2" t="s">
        <v>81</v>
      </c>
      <c r="D206" s="2" t="s">
        <v>32</v>
      </c>
      <c r="E206" s="2" t="s">
        <v>39</v>
      </c>
      <c r="F206" s="2" t="s">
        <v>494</v>
      </c>
      <c r="G206" s="2">
        <v>5000</v>
      </c>
      <c r="H206" s="2">
        <v>2</v>
      </c>
      <c r="I206" s="2">
        <v>0</v>
      </c>
      <c r="J206" s="2" t="s">
        <v>519</v>
      </c>
      <c r="K206" s="2">
        <v>1401.2</v>
      </c>
      <c r="L206" s="2" t="s">
        <v>17</v>
      </c>
    </row>
    <row r="207" spans="1:12" x14ac:dyDescent="0.25">
      <c r="A207" s="2" t="s">
        <v>23</v>
      </c>
      <c r="B207" s="2" t="s">
        <v>757</v>
      </c>
      <c r="C207" s="2" t="s">
        <v>24</v>
      </c>
      <c r="D207" s="2" t="s">
        <v>534</v>
      </c>
      <c r="E207" s="2" t="s">
        <v>26</v>
      </c>
      <c r="F207" s="2" t="s">
        <v>22</v>
      </c>
      <c r="G207" s="2">
        <v>35000</v>
      </c>
      <c r="H207" s="2">
        <v>2</v>
      </c>
      <c r="I207" s="2">
        <v>0.1</v>
      </c>
      <c r="J207" s="2" t="s">
        <v>545</v>
      </c>
      <c r="K207" s="2">
        <v>2633.52</v>
      </c>
      <c r="L207" s="2" t="s">
        <v>496</v>
      </c>
    </row>
    <row r="208" spans="1:12" x14ac:dyDescent="0.25">
      <c r="A208" s="2" t="s">
        <v>88</v>
      </c>
      <c r="B208" s="2" t="s">
        <v>758</v>
      </c>
      <c r="C208" s="2"/>
      <c r="D208" s="2" t="s">
        <v>506</v>
      </c>
      <c r="E208" s="2" t="s">
        <v>39</v>
      </c>
      <c r="F208" s="2" t="s">
        <v>494</v>
      </c>
      <c r="G208" s="2">
        <v>5000</v>
      </c>
      <c r="H208" s="2">
        <v>2</v>
      </c>
      <c r="I208" s="2">
        <v>0.2</v>
      </c>
      <c r="J208" s="2" t="s">
        <v>495</v>
      </c>
      <c r="K208" s="2">
        <v>0</v>
      </c>
      <c r="L208" s="2" t="s">
        <v>33</v>
      </c>
    </row>
    <row r="209" spans="1:12" x14ac:dyDescent="0.25">
      <c r="A209" s="2" t="s">
        <v>272</v>
      </c>
      <c r="B209" s="2" t="s">
        <v>759</v>
      </c>
      <c r="C209" s="2" t="s">
        <v>65</v>
      </c>
      <c r="D209" s="2" t="s">
        <v>35</v>
      </c>
      <c r="E209" s="2" t="s">
        <v>39</v>
      </c>
      <c r="F209" s="2" t="s">
        <v>22</v>
      </c>
      <c r="G209" s="2">
        <v>35000</v>
      </c>
      <c r="H209" s="2">
        <v>2</v>
      </c>
      <c r="I209" s="2">
        <v>0</v>
      </c>
      <c r="J209" s="2" t="s">
        <v>537</v>
      </c>
      <c r="K209" s="2">
        <v>805.91</v>
      </c>
      <c r="L209" s="2" t="s">
        <v>496</v>
      </c>
    </row>
    <row r="210" spans="1:12" x14ac:dyDescent="0.25">
      <c r="A210" s="2" t="s">
        <v>345</v>
      </c>
      <c r="B210" s="2" t="s">
        <v>760</v>
      </c>
      <c r="C210" s="2" t="s">
        <v>19</v>
      </c>
      <c r="D210" s="2" t="s">
        <v>534</v>
      </c>
      <c r="E210" s="2" t="s">
        <v>525</v>
      </c>
      <c r="F210" s="2" t="s">
        <v>22</v>
      </c>
      <c r="G210" s="2">
        <v>35000</v>
      </c>
      <c r="H210" s="2">
        <v>2</v>
      </c>
      <c r="I210" s="2">
        <v>0</v>
      </c>
      <c r="J210" s="2" t="s">
        <v>537</v>
      </c>
      <c r="K210" s="2">
        <v>2706.68</v>
      </c>
      <c r="L210" s="2" t="s">
        <v>33</v>
      </c>
    </row>
    <row r="211" spans="1:12" x14ac:dyDescent="0.25">
      <c r="A211" s="2" t="s">
        <v>97</v>
      </c>
      <c r="B211" s="2" t="s">
        <v>761</v>
      </c>
      <c r="C211" s="2" t="s">
        <v>31</v>
      </c>
      <c r="D211" s="2" t="s">
        <v>38</v>
      </c>
      <c r="E211" s="2" t="s">
        <v>522</v>
      </c>
      <c r="F211" s="2" t="s">
        <v>22</v>
      </c>
      <c r="G211" s="2">
        <v>35000</v>
      </c>
      <c r="H211" s="2">
        <v>2</v>
      </c>
      <c r="I211" s="2">
        <v>0</v>
      </c>
      <c r="J211" s="2" t="s">
        <v>537</v>
      </c>
      <c r="K211" s="2">
        <v>0</v>
      </c>
      <c r="L211" s="2" t="s">
        <v>33</v>
      </c>
    </row>
    <row r="212" spans="1:12" x14ac:dyDescent="0.25">
      <c r="A212" s="2" t="s">
        <v>344</v>
      </c>
      <c r="B212" s="2" t="s">
        <v>673</v>
      </c>
      <c r="C212" s="2" t="s">
        <v>19</v>
      </c>
      <c r="D212" s="2" t="s">
        <v>35</v>
      </c>
      <c r="E212" s="2" t="s">
        <v>26</v>
      </c>
      <c r="F212" s="2" t="s">
        <v>43</v>
      </c>
      <c r="G212" s="2">
        <v>65000</v>
      </c>
      <c r="H212" s="2">
        <v>1</v>
      </c>
      <c r="I212" s="2">
        <v>0</v>
      </c>
      <c r="J212" s="2" t="s">
        <v>523</v>
      </c>
      <c r="K212" s="2">
        <v>1912.38</v>
      </c>
      <c r="L212" s="2" t="s">
        <v>500</v>
      </c>
    </row>
    <row r="213" spans="1:12" x14ac:dyDescent="0.25">
      <c r="A213" s="2" t="s">
        <v>471</v>
      </c>
      <c r="B213" s="2" t="s">
        <v>762</v>
      </c>
      <c r="C213" s="2" t="s">
        <v>65</v>
      </c>
      <c r="D213" s="2" t="s">
        <v>32</v>
      </c>
      <c r="E213" s="2" t="s">
        <v>39</v>
      </c>
      <c r="F213" s="2" t="s">
        <v>549</v>
      </c>
      <c r="G213" s="2">
        <v>8000</v>
      </c>
      <c r="H213" s="2">
        <v>3</v>
      </c>
      <c r="I213" s="2">
        <v>0.15</v>
      </c>
      <c r="J213" s="2" t="s">
        <v>763</v>
      </c>
      <c r="K213" s="2">
        <v>1086.45</v>
      </c>
      <c r="L213" s="2" t="s">
        <v>17</v>
      </c>
    </row>
    <row r="214" spans="1:12" x14ac:dyDescent="0.25">
      <c r="A214" s="2" t="s">
        <v>478</v>
      </c>
      <c r="B214" s="2" t="s">
        <v>764</v>
      </c>
      <c r="C214" s="2" t="s">
        <v>511</v>
      </c>
      <c r="D214" s="2" t="s">
        <v>35</v>
      </c>
      <c r="E214" s="2" t="s">
        <v>39</v>
      </c>
      <c r="F214" s="2" t="s">
        <v>43</v>
      </c>
      <c r="G214" s="2">
        <v>65000</v>
      </c>
      <c r="H214" s="2">
        <v>1</v>
      </c>
      <c r="I214" s="2">
        <v>0.2</v>
      </c>
      <c r="J214" s="2" t="s">
        <v>512</v>
      </c>
      <c r="K214" s="2">
        <v>2587.4</v>
      </c>
      <c r="L214" s="2" t="s">
        <v>17</v>
      </c>
    </row>
    <row r="215" spans="1:12" x14ac:dyDescent="0.25">
      <c r="A215" s="2" t="s">
        <v>472</v>
      </c>
      <c r="B215" s="2" t="s">
        <v>765</v>
      </c>
      <c r="C215" s="2" t="s">
        <v>511</v>
      </c>
      <c r="D215" s="2" t="s">
        <v>35</v>
      </c>
      <c r="E215" s="2" t="s">
        <v>522</v>
      </c>
      <c r="F215" s="2" t="s">
        <v>494</v>
      </c>
      <c r="G215" s="2">
        <v>5000</v>
      </c>
      <c r="H215" s="2">
        <v>2</v>
      </c>
      <c r="I215" s="2">
        <v>0</v>
      </c>
      <c r="J215" s="2" t="s">
        <v>519</v>
      </c>
      <c r="K215" s="2">
        <v>1273.32</v>
      </c>
      <c r="L215" s="2" t="s">
        <v>496</v>
      </c>
    </row>
    <row r="216" spans="1:12" x14ac:dyDescent="0.25">
      <c r="A216" s="2" t="s">
        <v>491</v>
      </c>
      <c r="B216" s="2" t="s">
        <v>766</v>
      </c>
      <c r="C216" s="2" t="s">
        <v>521</v>
      </c>
      <c r="D216" s="2" t="s">
        <v>38</v>
      </c>
      <c r="E216" s="2" t="s">
        <v>525</v>
      </c>
      <c r="F216" s="2" t="s">
        <v>494</v>
      </c>
      <c r="G216" s="2">
        <v>5000</v>
      </c>
      <c r="H216" s="2">
        <v>2</v>
      </c>
      <c r="I216" s="2">
        <v>0</v>
      </c>
      <c r="J216" s="2" t="s">
        <v>519</v>
      </c>
      <c r="K216" s="2">
        <v>0</v>
      </c>
      <c r="L216" s="2" t="s">
        <v>17</v>
      </c>
    </row>
    <row r="217" spans="1:12" x14ac:dyDescent="0.25">
      <c r="A217" s="2" t="s">
        <v>385</v>
      </c>
      <c r="B217" s="2" t="s">
        <v>767</v>
      </c>
      <c r="C217" s="2" t="s">
        <v>521</v>
      </c>
      <c r="D217" s="2" t="s">
        <v>38</v>
      </c>
      <c r="E217" s="2" t="s">
        <v>26</v>
      </c>
      <c r="F217" s="2" t="s">
        <v>549</v>
      </c>
      <c r="G217" s="2">
        <v>8000</v>
      </c>
      <c r="H217" s="2">
        <v>2</v>
      </c>
      <c r="I217" s="2">
        <v>0</v>
      </c>
      <c r="J217" s="2" t="s">
        <v>550</v>
      </c>
      <c r="K217" s="2">
        <v>0</v>
      </c>
      <c r="L217" s="2" t="s">
        <v>33</v>
      </c>
    </row>
    <row r="218" spans="1:12" x14ac:dyDescent="0.25">
      <c r="A218" s="2" t="s">
        <v>480</v>
      </c>
      <c r="B218" s="2" t="s">
        <v>768</v>
      </c>
      <c r="C218" s="2" t="s">
        <v>13</v>
      </c>
      <c r="D218" s="2" t="s">
        <v>534</v>
      </c>
      <c r="E218" s="2" t="s">
        <v>21</v>
      </c>
      <c r="F218" s="2" t="s">
        <v>494</v>
      </c>
      <c r="G218" s="2">
        <v>5000</v>
      </c>
      <c r="H218" s="2">
        <v>2</v>
      </c>
      <c r="I218" s="2">
        <v>0.1</v>
      </c>
      <c r="J218" s="2" t="s">
        <v>539</v>
      </c>
      <c r="K218" s="2">
        <v>1905.97</v>
      </c>
      <c r="L218" s="2" t="s">
        <v>496</v>
      </c>
    </row>
    <row r="219" spans="1:12" x14ac:dyDescent="0.25">
      <c r="A219" s="2" t="s">
        <v>214</v>
      </c>
      <c r="B219" s="2" t="s">
        <v>769</v>
      </c>
      <c r="C219" s="2" t="s">
        <v>65</v>
      </c>
      <c r="D219" s="2" t="s">
        <v>20</v>
      </c>
      <c r="E219" s="2" t="s">
        <v>21</v>
      </c>
      <c r="F219" s="2" t="s">
        <v>494</v>
      </c>
      <c r="G219" s="2">
        <v>5000</v>
      </c>
      <c r="H219" s="2">
        <v>3</v>
      </c>
      <c r="I219" s="2">
        <v>0.05</v>
      </c>
      <c r="J219" s="2" t="s">
        <v>581</v>
      </c>
      <c r="K219" s="2">
        <v>3104.39</v>
      </c>
      <c r="L219" s="2" t="s">
        <v>17</v>
      </c>
    </row>
    <row r="220" spans="1:12" x14ac:dyDescent="0.25">
      <c r="A220" s="2" t="s">
        <v>458</v>
      </c>
      <c r="B220" s="2" t="s">
        <v>770</v>
      </c>
      <c r="C220" s="2" t="s">
        <v>24</v>
      </c>
      <c r="D220" s="2" t="s">
        <v>20</v>
      </c>
      <c r="E220" s="2" t="s">
        <v>36</v>
      </c>
      <c r="F220" s="2" t="s">
        <v>494</v>
      </c>
      <c r="G220" s="2">
        <v>5000</v>
      </c>
      <c r="H220" s="2">
        <v>1</v>
      </c>
      <c r="I220" s="2">
        <v>0.05</v>
      </c>
      <c r="J220" s="2" t="s">
        <v>771</v>
      </c>
      <c r="K220" s="2">
        <v>945.95</v>
      </c>
      <c r="L220" s="2" t="s">
        <v>17</v>
      </c>
    </row>
    <row r="221" spans="1:12" x14ac:dyDescent="0.25">
      <c r="A221" s="2" t="s">
        <v>288</v>
      </c>
      <c r="B221" s="2" t="s">
        <v>772</v>
      </c>
      <c r="C221" s="2" t="s">
        <v>31</v>
      </c>
      <c r="D221" s="2" t="s">
        <v>28</v>
      </c>
      <c r="E221" s="2" t="s">
        <v>26</v>
      </c>
      <c r="F221" s="2" t="s">
        <v>549</v>
      </c>
      <c r="G221" s="2">
        <v>8000</v>
      </c>
      <c r="H221" s="2">
        <v>1</v>
      </c>
      <c r="I221" s="2">
        <v>0</v>
      </c>
      <c r="J221" s="2" t="s">
        <v>495</v>
      </c>
      <c r="K221" s="2">
        <v>0</v>
      </c>
      <c r="L221" s="2" t="s">
        <v>17</v>
      </c>
    </row>
    <row r="222" spans="1:12" x14ac:dyDescent="0.25">
      <c r="A222" s="2" t="s">
        <v>136</v>
      </c>
      <c r="B222" s="2" t="s">
        <v>773</v>
      </c>
      <c r="C222" s="2" t="s">
        <v>24</v>
      </c>
      <c r="D222" s="2" t="s">
        <v>35</v>
      </c>
      <c r="E222" s="2" t="s">
        <v>15</v>
      </c>
      <c r="F222" s="2" t="s">
        <v>43</v>
      </c>
      <c r="G222" s="2">
        <v>65000</v>
      </c>
      <c r="H222" s="2">
        <v>3</v>
      </c>
      <c r="I222" s="2">
        <v>0.15</v>
      </c>
      <c r="J222" s="2" t="s">
        <v>552</v>
      </c>
      <c r="K222" s="2">
        <v>3232.94</v>
      </c>
      <c r="L222" s="2" t="s">
        <v>33</v>
      </c>
    </row>
    <row r="223" spans="1:12" x14ac:dyDescent="0.25">
      <c r="A223" s="2" t="s">
        <v>57</v>
      </c>
      <c r="B223" s="2" t="s">
        <v>774</v>
      </c>
      <c r="C223" s="2" t="s">
        <v>13</v>
      </c>
      <c r="D223" s="2" t="s">
        <v>38</v>
      </c>
      <c r="E223" s="2" t="s">
        <v>49</v>
      </c>
      <c r="F223" s="2" t="s">
        <v>41</v>
      </c>
      <c r="G223" s="2">
        <v>15000</v>
      </c>
      <c r="H223" s="2">
        <v>1</v>
      </c>
      <c r="I223" s="2">
        <v>0</v>
      </c>
      <c r="J223" s="2" t="s">
        <v>526</v>
      </c>
      <c r="K223" s="2">
        <v>0</v>
      </c>
      <c r="L223" s="2" t="s">
        <v>17</v>
      </c>
    </row>
    <row r="224" spans="1:12" x14ac:dyDescent="0.25">
      <c r="A224" s="2" t="s">
        <v>403</v>
      </c>
      <c r="B224" s="2" t="s">
        <v>775</v>
      </c>
      <c r="C224" s="2" t="s">
        <v>24</v>
      </c>
      <c r="D224" s="2" t="s">
        <v>506</v>
      </c>
      <c r="E224" s="2" t="s">
        <v>525</v>
      </c>
      <c r="F224" s="2" t="s">
        <v>494</v>
      </c>
      <c r="G224" s="2">
        <v>5000</v>
      </c>
      <c r="H224" s="2">
        <v>2</v>
      </c>
      <c r="I224" s="2">
        <v>0</v>
      </c>
      <c r="J224" s="2" t="s">
        <v>519</v>
      </c>
      <c r="K224" s="2">
        <v>0</v>
      </c>
      <c r="L224" s="2" t="s">
        <v>33</v>
      </c>
    </row>
    <row r="225" spans="1:12" x14ac:dyDescent="0.25">
      <c r="A225" s="2" t="s">
        <v>331</v>
      </c>
      <c r="B225" s="2" t="s">
        <v>776</v>
      </c>
      <c r="C225" s="2" t="s">
        <v>24</v>
      </c>
      <c r="D225" s="2" t="s">
        <v>506</v>
      </c>
      <c r="E225" s="2" t="s">
        <v>39</v>
      </c>
      <c r="F225" s="2" t="s">
        <v>494</v>
      </c>
      <c r="G225" s="2">
        <v>5000</v>
      </c>
      <c r="H225" s="2">
        <v>3</v>
      </c>
      <c r="I225" s="2">
        <v>0</v>
      </c>
      <c r="J225" s="2" t="s">
        <v>526</v>
      </c>
      <c r="K225" s="2">
        <v>0</v>
      </c>
      <c r="L225" s="2" t="s">
        <v>33</v>
      </c>
    </row>
    <row r="226" spans="1:12" x14ac:dyDescent="0.25">
      <c r="A226" s="2" t="s">
        <v>388</v>
      </c>
      <c r="B226" s="2" t="s">
        <v>777</v>
      </c>
      <c r="C226" s="2" t="s">
        <v>19</v>
      </c>
      <c r="D226" s="2" t="s">
        <v>20</v>
      </c>
      <c r="E226" s="2" t="s">
        <v>39</v>
      </c>
      <c r="F226" s="2" t="s">
        <v>494</v>
      </c>
      <c r="G226" s="2">
        <v>5000</v>
      </c>
      <c r="H226" s="2">
        <v>1</v>
      </c>
      <c r="I226" s="2">
        <v>0</v>
      </c>
      <c r="J226" s="2" t="s">
        <v>529</v>
      </c>
      <c r="K226" s="2">
        <v>1917.47</v>
      </c>
      <c r="L226" s="2" t="s">
        <v>500</v>
      </c>
    </row>
    <row r="227" spans="1:12" x14ac:dyDescent="0.25">
      <c r="A227" s="2" t="s">
        <v>426</v>
      </c>
      <c r="B227" s="2" t="s">
        <v>778</v>
      </c>
      <c r="C227" s="2" t="s">
        <v>19</v>
      </c>
      <c r="D227" s="2" t="s">
        <v>35</v>
      </c>
      <c r="E227" s="2" t="s">
        <v>49</v>
      </c>
      <c r="F227" s="2" t="s">
        <v>22</v>
      </c>
      <c r="G227" s="2">
        <v>35000</v>
      </c>
      <c r="H227" s="2">
        <v>2</v>
      </c>
      <c r="I227" s="2">
        <v>0.1</v>
      </c>
      <c r="J227" s="2" t="s">
        <v>545</v>
      </c>
      <c r="K227" s="2">
        <v>2514.5300000000002</v>
      </c>
      <c r="L227" s="2" t="s">
        <v>496</v>
      </c>
    </row>
    <row r="228" spans="1:12" x14ac:dyDescent="0.25">
      <c r="A228" s="2" t="s">
        <v>256</v>
      </c>
      <c r="B228" s="2" t="s">
        <v>779</v>
      </c>
      <c r="C228" s="2" t="s">
        <v>19</v>
      </c>
      <c r="D228" s="2" t="s">
        <v>514</v>
      </c>
      <c r="E228" s="2" t="s">
        <v>15</v>
      </c>
      <c r="F228" s="2" t="s">
        <v>494</v>
      </c>
      <c r="G228" s="2">
        <v>5000</v>
      </c>
      <c r="H228" s="2">
        <v>1</v>
      </c>
      <c r="I228" s="2">
        <v>0</v>
      </c>
      <c r="J228" s="2" t="s">
        <v>529</v>
      </c>
      <c r="K228" s="2">
        <v>3210.99</v>
      </c>
      <c r="L228" s="2" t="s">
        <v>17</v>
      </c>
    </row>
    <row r="229" spans="1:12" x14ac:dyDescent="0.25">
      <c r="A229" s="2" t="s">
        <v>166</v>
      </c>
      <c r="B229" s="2" t="s">
        <v>780</v>
      </c>
      <c r="C229" s="2" t="s">
        <v>511</v>
      </c>
      <c r="D229" s="2" t="s">
        <v>20</v>
      </c>
      <c r="E229" s="2" t="s">
        <v>525</v>
      </c>
      <c r="F229" s="2" t="s">
        <v>494</v>
      </c>
      <c r="G229" s="2">
        <v>5000</v>
      </c>
      <c r="H229" s="2">
        <v>2</v>
      </c>
      <c r="I229" s="2">
        <v>0</v>
      </c>
      <c r="J229" s="2" t="s">
        <v>519</v>
      </c>
      <c r="K229" s="2">
        <v>2573.34</v>
      </c>
      <c r="L229" s="2" t="s">
        <v>17</v>
      </c>
    </row>
    <row r="230" spans="1:12" x14ac:dyDescent="0.25">
      <c r="A230" s="2" t="s">
        <v>376</v>
      </c>
      <c r="B230" s="2" t="s">
        <v>673</v>
      </c>
      <c r="C230" s="2" t="s">
        <v>65</v>
      </c>
      <c r="D230" s="2" t="s">
        <v>506</v>
      </c>
      <c r="E230" s="2" t="s">
        <v>36</v>
      </c>
      <c r="F230" s="2" t="s">
        <v>41</v>
      </c>
      <c r="G230" s="2">
        <v>15000</v>
      </c>
      <c r="H230" s="2">
        <v>1</v>
      </c>
      <c r="I230" s="2">
        <v>0</v>
      </c>
      <c r="J230" s="2" t="s">
        <v>526</v>
      </c>
      <c r="K230" s="2">
        <v>0</v>
      </c>
      <c r="L230" s="2" t="s">
        <v>496</v>
      </c>
    </row>
    <row r="231" spans="1:12" x14ac:dyDescent="0.25">
      <c r="A231" s="2" t="s">
        <v>276</v>
      </c>
      <c r="B231" s="2" t="s">
        <v>781</v>
      </c>
      <c r="C231" s="2" t="s">
        <v>65</v>
      </c>
      <c r="D231" s="2" t="s">
        <v>534</v>
      </c>
      <c r="E231" s="2" t="s">
        <v>522</v>
      </c>
      <c r="F231" s="2" t="s">
        <v>22</v>
      </c>
      <c r="G231" s="2">
        <v>35000</v>
      </c>
      <c r="H231" s="2">
        <v>3</v>
      </c>
      <c r="I231" s="2">
        <v>0.05</v>
      </c>
      <c r="J231" s="2" t="s">
        <v>627</v>
      </c>
      <c r="K231" s="2">
        <v>2230.35</v>
      </c>
      <c r="L231" s="2" t="s">
        <v>17</v>
      </c>
    </row>
    <row r="232" spans="1:12" x14ac:dyDescent="0.25">
      <c r="A232" s="2" t="s">
        <v>209</v>
      </c>
      <c r="B232" s="2" t="s">
        <v>782</v>
      </c>
      <c r="C232" s="2" t="s">
        <v>24</v>
      </c>
      <c r="D232" s="2" t="s">
        <v>38</v>
      </c>
      <c r="E232" s="2" t="s">
        <v>522</v>
      </c>
      <c r="F232" s="2" t="s">
        <v>41</v>
      </c>
      <c r="G232" s="2">
        <v>15000</v>
      </c>
      <c r="H232" s="2">
        <v>3</v>
      </c>
      <c r="I232" s="2">
        <v>0</v>
      </c>
      <c r="J232" s="2" t="s">
        <v>517</v>
      </c>
      <c r="K232" s="2">
        <v>0</v>
      </c>
      <c r="L232" s="2" t="s">
        <v>496</v>
      </c>
    </row>
    <row r="233" spans="1:12" x14ac:dyDescent="0.25">
      <c r="A233" s="2" t="s">
        <v>105</v>
      </c>
      <c r="B233" s="2" t="s">
        <v>736</v>
      </c>
      <c r="C233" s="2"/>
      <c r="D233" s="2" t="s">
        <v>35</v>
      </c>
      <c r="E233" s="2" t="s">
        <v>525</v>
      </c>
      <c r="F233" s="2" t="s">
        <v>43</v>
      </c>
      <c r="G233" s="2">
        <v>65000</v>
      </c>
      <c r="H233" s="2">
        <v>1</v>
      </c>
      <c r="I233" s="2">
        <v>0.2</v>
      </c>
      <c r="J233" s="2" t="s">
        <v>512</v>
      </c>
      <c r="K233" s="2">
        <v>3103.09</v>
      </c>
      <c r="L233" s="2" t="s">
        <v>33</v>
      </c>
    </row>
    <row r="234" spans="1:12" x14ac:dyDescent="0.25">
      <c r="A234" s="2" t="s">
        <v>258</v>
      </c>
      <c r="B234" s="2" t="s">
        <v>783</v>
      </c>
      <c r="C234" s="2" t="s">
        <v>13</v>
      </c>
      <c r="D234" s="2" t="s">
        <v>38</v>
      </c>
      <c r="E234" s="2" t="s">
        <v>49</v>
      </c>
      <c r="F234" s="2" t="s">
        <v>22</v>
      </c>
      <c r="G234" s="2">
        <v>35000</v>
      </c>
      <c r="H234" s="2">
        <v>3</v>
      </c>
      <c r="I234" s="2">
        <v>0.1</v>
      </c>
      <c r="J234" s="2" t="s">
        <v>665</v>
      </c>
      <c r="K234" s="2">
        <v>0</v>
      </c>
      <c r="L234" s="2" t="s">
        <v>17</v>
      </c>
    </row>
    <row r="235" spans="1:12" x14ac:dyDescent="0.25">
      <c r="A235" s="2" t="s">
        <v>386</v>
      </c>
      <c r="B235" s="2" t="s">
        <v>784</v>
      </c>
      <c r="C235" s="2" t="s">
        <v>19</v>
      </c>
      <c r="D235" s="2" t="s">
        <v>35</v>
      </c>
      <c r="E235" s="2" t="s">
        <v>39</v>
      </c>
      <c r="F235" s="2" t="s">
        <v>494</v>
      </c>
      <c r="G235" s="2">
        <v>5000</v>
      </c>
      <c r="H235" s="2">
        <v>1</v>
      </c>
      <c r="I235" s="2">
        <v>0</v>
      </c>
      <c r="J235" s="2" t="s">
        <v>529</v>
      </c>
      <c r="K235" s="2">
        <v>1090.3</v>
      </c>
      <c r="L235" s="2" t="s">
        <v>17</v>
      </c>
    </row>
    <row r="236" spans="1:12" x14ac:dyDescent="0.25">
      <c r="A236" s="2" t="s">
        <v>198</v>
      </c>
      <c r="B236" s="2" t="s">
        <v>785</v>
      </c>
      <c r="C236" s="2" t="s">
        <v>19</v>
      </c>
      <c r="D236" s="2" t="s">
        <v>514</v>
      </c>
      <c r="E236" s="2" t="s">
        <v>522</v>
      </c>
      <c r="F236" s="2" t="s">
        <v>549</v>
      </c>
      <c r="G236" s="2">
        <v>8000</v>
      </c>
      <c r="H236" s="2">
        <v>1</v>
      </c>
      <c r="I236" s="2">
        <v>0.1</v>
      </c>
      <c r="J236" s="2" t="s">
        <v>668</v>
      </c>
      <c r="K236" s="2">
        <v>211.54</v>
      </c>
      <c r="L236" s="2" t="s">
        <v>496</v>
      </c>
    </row>
    <row r="237" spans="1:12" x14ac:dyDescent="0.25">
      <c r="A237" s="2" t="s">
        <v>255</v>
      </c>
      <c r="B237" s="2" t="s">
        <v>786</v>
      </c>
      <c r="C237" s="2" t="s">
        <v>24</v>
      </c>
      <c r="D237" s="2" t="s">
        <v>32</v>
      </c>
      <c r="E237" s="2" t="s">
        <v>36</v>
      </c>
      <c r="F237" s="2" t="s">
        <v>549</v>
      </c>
      <c r="G237" s="2">
        <v>8000</v>
      </c>
      <c r="H237" s="2">
        <v>2</v>
      </c>
      <c r="I237" s="2">
        <v>0.2</v>
      </c>
      <c r="J237" s="2" t="s">
        <v>690</v>
      </c>
      <c r="K237" s="2">
        <v>1071.42</v>
      </c>
      <c r="L237" s="2" t="s">
        <v>17</v>
      </c>
    </row>
    <row r="238" spans="1:12" x14ac:dyDescent="0.25">
      <c r="A238" s="2" t="s">
        <v>255</v>
      </c>
      <c r="B238" s="2" t="s">
        <v>786</v>
      </c>
      <c r="C238" s="2" t="s">
        <v>24</v>
      </c>
      <c r="D238" s="2" t="s">
        <v>32</v>
      </c>
      <c r="E238" s="2" t="s">
        <v>36</v>
      </c>
      <c r="F238" s="2" t="s">
        <v>549</v>
      </c>
      <c r="G238" s="2">
        <v>8000</v>
      </c>
      <c r="H238" s="2">
        <v>2</v>
      </c>
      <c r="I238" s="2">
        <v>0.2</v>
      </c>
      <c r="J238" s="2" t="s">
        <v>690</v>
      </c>
      <c r="K238" s="2">
        <v>1071.42</v>
      </c>
      <c r="L238" s="2" t="s">
        <v>17</v>
      </c>
    </row>
    <row r="239" spans="1:12" x14ac:dyDescent="0.25">
      <c r="A239" s="2" t="s">
        <v>486</v>
      </c>
      <c r="B239" s="2" t="s">
        <v>787</v>
      </c>
      <c r="C239" s="2" t="s">
        <v>521</v>
      </c>
      <c r="D239" s="2" t="s">
        <v>35</v>
      </c>
      <c r="E239" s="2" t="s">
        <v>21</v>
      </c>
      <c r="F239" s="2" t="s">
        <v>22</v>
      </c>
      <c r="G239" s="2">
        <v>35000</v>
      </c>
      <c r="H239" s="2">
        <v>3</v>
      </c>
      <c r="I239" s="2">
        <v>0.05</v>
      </c>
      <c r="J239" s="2" t="s">
        <v>627</v>
      </c>
      <c r="K239" s="2">
        <v>3380.91</v>
      </c>
      <c r="L239" s="2" t="s">
        <v>33</v>
      </c>
    </row>
    <row r="240" spans="1:12" x14ac:dyDescent="0.25">
      <c r="A240" s="2" t="s">
        <v>295</v>
      </c>
      <c r="B240" s="2" t="s">
        <v>788</v>
      </c>
      <c r="C240" s="2" t="s">
        <v>511</v>
      </c>
      <c r="D240" s="2" t="s">
        <v>578</v>
      </c>
      <c r="E240" s="2" t="s">
        <v>49</v>
      </c>
      <c r="F240" s="2" t="s">
        <v>549</v>
      </c>
      <c r="G240" s="2">
        <v>8000</v>
      </c>
      <c r="H240" s="2">
        <v>3</v>
      </c>
      <c r="I240" s="2">
        <v>0.05</v>
      </c>
      <c r="J240" s="2" t="s">
        <v>789</v>
      </c>
      <c r="K240" s="2">
        <v>1419.42</v>
      </c>
      <c r="L240" s="2" t="s">
        <v>17</v>
      </c>
    </row>
    <row r="241" spans="1:12" x14ac:dyDescent="0.25">
      <c r="A241" s="2" t="s">
        <v>99</v>
      </c>
      <c r="B241" s="2" t="s">
        <v>790</v>
      </c>
      <c r="C241" s="2" t="s">
        <v>31</v>
      </c>
      <c r="D241" s="2" t="s">
        <v>578</v>
      </c>
      <c r="E241" s="2" t="s">
        <v>36</v>
      </c>
      <c r="F241" s="2" t="s">
        <v>22</v>
      </c>
      <c r="G241" s="2">
        <v>35000</v>
      </c>
      <c r="H241" s="2">
        <v>3</v>
      </c>
      <c r="I241" s="2">
        <v>0</v>
      </c>
      <c r="J241" s="2" t="s">
        <v>676</v>
      </c>
      <c r="K241" s="2">
        <v>1272.45</v>
      </c>
      <c r="L241" s="2" t="s">
        <v>33</v>
      </c>
    </row>
    <row r="242" spans="1:12" x14ac:dyDescent="0.25">
      <c r="A242" s="2" t="s">
        <v>485</v>
      </c>
      <c r="B242" s="2" t="s">
        <v>791</v>
      </c>
      <c r="C242" s="2" t="s">
        <v>81</v>
      </c>
      <c r="D242" s="2" t="s">
        <v>578</v>
      </c>
      <c r="E242" s="2" t="s">
        <v>15</v>
      </c>
      <c r="F242" s="2" t="s">
        <v>41</v>
      </c>
      <c r="G242" s="2">
        <v>15000</v>
      </c>
      <c r="H242" s="2">
        <v>1</v>
      </c>
      <c r="I242" s="2">
        <v>0.2</v>
      </c>
      <c r="J242" s="2" t="s">
        <v>589</v>
      </c>
      <c r="K242" s="2">
        <v>3122.53</v>
      </c>
      <c r="L242" s="2" t="s">
        <v>17</v>
      </c>
    </row>
    <row r="243" spans="1:12" x14ac:dyDescent="0.25">
      <c r="A243" s="2" t="s">
        <v>411</v>
      </c>
      <c r="B243" s="2" t="s">
        <v>792</v>
      </c>
      <c r="C243" s="2" t="s">
        <v>65</v>
      </c>
      <c r="D243" s="2" t="s">
        <v>498</v>
      </c>
      <c r="E243" s="2" t="s">
        <v>26</v>
      </c>
      <c r="F243" s="2" t="s">
        <v>549</v>
      </c>
      <c r="G243" s="2">
        <v>8000</v>
      </c>
      <c r="H243" s="2">
        <v>3</v>
      </c>
      <c r="I243" s="2">
        <v>0.05</v>
      </c>
      <c r="J243" s="2" t="s">
        <v>789</v>
      </c>
      <c r="K243" s="2">
        <v>736.48</v>
      </c>
      <c r="L243" s="2" t="s">
        <v>33</v>
      </c>
    </row>
    <row r="244" spans="1:12" x14ac:dyDescent="0.25">
      <c r="A244" s="2" t="s">
        <v>395</v>
      </c>
      <c r="B244" s="2" t="s">
        <v>793</v>
      </c>
      <c r="C244" s="2" t="s">
        <v>511</v>
      </c>
      <c r="D244" s="2" t="s">
        <v>534</v>
      </c>
      <c r="E244" s="2" t="s">
        <v>522</v>
      </c>
      <c r="F244" s="2" t="s">
        <v>43</v>
      </c>
      <c r="G244" s="2">
        <v>65000</v>
      </c>
      <c r="H244" s="2">
        <v>1</v>
      </c>
      <c r="I244" s="2">
        <v>0.05</v>
      </c>
      <c r="J244" s="2" t="s">
        <v>652</v>
      </c>
      <c r="K244" s="2">
        <v>1034.71</v>
      </c>
      <c r="L244" s="2" t="s">
        <v>500</v>
      </c>
    </row>
    <row r="245" spans="1:12" x14ac:dyDescent="0.25">
      <c r="A245" s="2" t="s">
        <v>175</v>
      </c>
      <c r="B245" s="2" t="s">
        <v>794</v>
      </c>
      <c r="C245" s="2" t="s">
        <v>19</v>
      </c>
      <c r="D245" s="2" t="s">
        <v>35</v>
      </c>
      <c r="E245" s="2" t="s">
        <v>39</v>
      </c>
      <c r="F245" s="2" t="s">
        <v>43</v>
      </c>
      <c r="G245" s="2">
        <v>65000</v>
      </c>
      <c r="H245" s="2">
        <v>1</v>
      </c>
      <c r="I245" s="2">
        <v>0</v>
      </c>
      <c r="J245" s="2" t="s">
        <v>523</v>
      </c>
      <c r="K245" s="2">
        <v>2980.95</v>
      </c>
      <c r="L245" s="2" t="s">
        <v>33</v>
      </c>
    </row>
    <row r="246" spans="1:12" x14ac:dyDescent="0.25">
      <c r="A246" s="2" t="s">
        <v>412</v>
      </c>
      <c r="B246" s="2" t="s">
        <v>795</v>
      </c>
      <c r="C246" s="2" t="s">
        <v>19</v>
      </c>
      <c r="D246" s="2" t="s">
        <v>32</v>
      </c>
      <c r="E246" s="2" t="s">
        <v>49</v>
      </c>
      <c r="F246" s="2" t="s">
        <v>22</v>
      </c>
      <c r="G246" s="2">
        <v>35000</v>
      </c>
      <c r="H246" s="2">
        <v>2</v>
      </c>
      <c r="I246" s="2">
        <v>0.15</v>
      </c>
      <c r="J246" s="2" t="s">
        <v>611</v>
      </c>
      <c r="K246" s="2">
        <v>2844.09</v>
      </c>
      <c r="L246" s="2" t="s">
        <v>33</v>
      </c>
    </row>
    <row r="247" spans="1:12" x14ac:dyDescent="0.25">
      <c r="A247" s="2" t="s">
        <v>37</v>
      </c>
      <c r="B247" s="2" t="s">
        <v>796</v>
      </c>
      <c r="C247" s="2" t="s">
        <v>19</v>
      </c>
      <c r="D247" s="2" t="s">
        <v>38</v>
      </c>
      <c r="E247" s="2" t="s">
        <v>39</v>
      </c>
      <c r="F247" s="2" t="s">
        <v>549</v>
      </c>
      <c r="G247" s="2">
        <v>8000</v>
      </c>
      <c r="H247" s="2">
        <v>3</v>
      </c>
      <c r="I247" s="2">
        <v>0</v>
      </c>
      <c r="J247" s="2" t="s">
        <v>515</v>
      </c>
      <c r="K247" s="2">
        <v>0</v>
      </c>
      <c r="L247" s="2" t="s">
        <v>500</v>
      </c>
    </row>
    <row r="248" spans="1:12" x14ac:dyDescent="0.25">
      <c r="A248" s="2" t="s">
        <v>80</v>
      </c>
      <c r="B248" s="2" t="s">
        <v>797</v>
      </c>
      <c r="C248" s="2" t="s">
        <v>81</v>
      </c>
      <c r="D248" s="2" t="s">
        <v>20</v>
      </c>
      <c r="E248" s="2" t="s">
        <v>21</v>
      </c>
      <c r="F248" s="2" t="s">
        <v>494</v>
      </c>
      <c r="G248" s="2">
        <v>5000</v>
      </c>
      <c r="H248" s="2">
        <v>2</v>
      </c>
      <c r="I248" s="2">
        <v>0.15</v>
      </c>
      <c r="J248" s="2" t="s">
        <v>562</v>
      </c>
      <c r="K248" s="2">
        <v>1084.47</v>
      </c>
      <c r="L248" s="2" t="s">
        <v>17</v>
      </c>
    </row>
    <row r="249" spans="1:12" x14ac:dyDescent="0.25">
      <c r="A249" s="2" t="s">
        <v>196</v>
      </c>
      <c r="B249" s="2" t="s">
        <v>798</v>
      </c>
      <c r="C249" s="2" t="s">
        <v>31</v>
      </c>
      <c r="D249" s="2" t="s">
        <v>506</v>
      </c>
      <c r="E249" s="2" t="s">
        <v>21</v>
      </c>
      <c r="F249" s="2" t="s">
        <v>494</v>
      </c>
      <c r="G249" s="2">
        <v>5000</v>
      </c>
      <c r="H249" s="2">
        <v>2</v>
      </c>
      <c r="I249" s="2">
        <v>0.15</v>
      </c>
      <c r="J249" s="2" t="s">
        <v>562</v>
      </c>
      <c r="K249" s="2">
        <v>0</v>
      </c>
      <c r="L249" s="2" t="s">
        <v>17</v>
      </c>
    </row>
    <row r="250" spans="1:12" x14ac:dyDescent="0.25">
      <c r="A250" s="2" t="s">
        <v>375</v>
      </c>
      <c r="B250" s="2" t="s">
        <v>799</v>
      </c>
      <c r="C250" s="2" t="s">
        <v>13</v>
      </c>
      <c r="D250" s="2" t="s">
        <v>32</v>
      </c>
      <c r="E250" s="2" t="s">
        <v>36</v>
      </c>
      <c r="F250" s="2" t="s">
        <v>41</v>
      </c>
      <c r="G250" s="2">
        <v>15000</v>
      </c>
      <c r="H250" s="2">
        <v>3</v>
      </c>
      <c r="I250" s="2">
        <v>0</v>
      </c>
      <c r="J250" s="2" t="s">
        <v>526</v>
      </c>
      <c r="K250" s="2">
        <v>2613.08</v>
      </c>
      <c r="L250" s="2" t="s">
        <v>17</v>
      </c>
    </row>
    <row r="251" spans="1:12" x14ac:dyDescent="0.25">
      <c r="A251" s="2" t="s">
        <v>375</v>
      </c>
      <c r="B251" s="2" t="s">
        <v>799</v>
      </c>
      <c r="C251" s="2" t="s">
        <v>13</v>
      </c>
      <c r="D251" s="2" t="s">
        <v>32</v>
      </c>
      <c r="E251" s="2" t="s">
        <v>36</v>
      </c>
      <c r="F251" s="2" t="s">
        <v>41</v>
      </c>
      <c r="G251" s="2">
        <v>15000</v>
      </c>
      <c r="H251" s="2">
        <v>1</v>
      </c>
      <c r="I251" s="2">
        <v>0</v>
      </c>
      <c r="J251" s="2" t="s">
        <v>526</v>
      </c>
      <c r="K251" s="2">
        <v>2613.08</v>
      </c>
      <c r="L251" s="2" t="s">
        <v>17</v>
      </c>
    </row>
    <row r="252" spans="1:12" x14ac:dyDescent="0.25">
      <c r="A252" s="2" t="s">
        <v>285</v>
      </c>
      <c r="B252" s="2" t="s">
        <v>800</v>
      </c>
      <c r="C252" s="2" t="s">
        <v>24</v>
      </c>
      <c r="D252" s="2" t="s">
        <v>506</v>
      </c>
      <c r="E252" s="2" t="s">
        <v>525</v>
      </c>
      <c r="F252" s="2" t="s">
        <v>41</v>
      </c>
      <c r="G252" s="2">
        <v>15000</v>
      </c>
      <c r="H252" s="2">
        <v>2</v>
      </c>
      <c r="I252" s="2">
        <v>0.2</v>
      </c>
      <c r="J252" s="2" t="s">
        <v>515</v>
      </c>
      <c r="K252" s="2">
        <v>0</v>
      </c>
      <c r="L252" s="2" t="s">
        <v>33</v>
      </c>
    </row>
    <row r="253" spans="1:12" x14ac:dyDescent="0.25">
      <c r="A253" s="2" t="s">
        <v>60</v>
      </c>
      <c r="B253" s="2" t="s">
        <v>801</v>
      </c>
      <c r="C253" s="2" t="s">
        <v>511</v>
      </c>
      <c r="D253" s="2" t="s">
        <v>20</v>
      </c>
      <c r="E253" s="2" t="s">
        <v>49</v>
      </c>
      <c r="F253" s="2" t="s">
        <v>43</v>
      </c>
      <c r="G253" s="2">
        <v>65000</v>
      </c>
      <c r="H253" s="2">
        <v>2</v>
      </c>
      <c r="I253" s="2">
        <v>0.2</v>
      </c>
      <c r="J253" s="2" t="s">
        <v>802</v>
      </c>
      <c r="K253" s="2">
        <v>938.12</v>
      </c>
      <c r="L253" s="2" t="s">
        <v>500</v>
      </c>
    </row>
    <row r="254" spans="1:12" x14ac:dyDescent="0.25">
      <c r="A254" s="2" t="s">
        <v>60</v>
      </c>
      <c r="B254" s="2" t="s">
        <v>801</v>
      </c>
      <c r="C254" s="2" t="s">
        <v>511</v>
      </c>
      <c r="D254" s="2" t="s">
        <v>20</v>
      </c>
      <c r="E254" s="2" t="s">
        <v>49</v>
      </c>
      <c r="F254" s="2" t="s">
        <v>43</v>
      </c>
      <c r="G254" s="2">
        <v>65000</v>
      </c>
      <c r="H254" s="2">
        <v>2</v>
      </c>
      <c r="I254" s="2">
        <v>0.2</v>
      </c>
      <c r="J254" s="2" t="s">
        <v>802</v>
      </c>
      <c r="K254" s="2">
        <v>938.12</v>
      </c>
      <c r="L254" s="2" t="s">
        <v>500</v>
      </c>
    </row>
    <row r="255" spans="1:12" x14ac:dyDescent="0.25">
      <c r="A255" s="2" t="s">
        <v>139</v>
      </c>
      <c r="B255" s="2" t="s">
        <v>803</v>
      </c>
      <c r="C255" s="2" t="s">
        <v>81</v>
      </c>
      <c r="D255" s="2" t="s">
        <v>38</v>
      </c>
      <c r="E255" s="2" t="s">
        <v>39</v>
      </c>
      <c r="F255" s="2" t="s">
        <v>549</v>
      </c>
      <c r="G255" s="2">
        <v>8000</v>
      </c>
      <c r="H255" s="2">
        <v>2</v>
      </c>
      <c r="I255" s="2">
        <v>0.15</v>
      </c>
      <c r="J255" s="2" t="s">
        <v>629</v>
      </c>
      <c r="K255" s="2">
        <v>0</v>
      </c>
      <c r="L255" s="2" t="s">
        <v>496</v>
      </c>
    </row>
    <row r="256" spans="1:12" x14ac:dyDescent="0.25">
      <c r="A256" s="2" t="s">
        <v>367</v>
      </c>
      <c r="B256" s="2" t="s">
        <v>804</v>
      </c>
      <c r="C256" s="2" t="s">
        <v>13</v>
      </c>
      <c r="D256" s="2" t="s">
        <v>35</v>
      </c>
      <c r="E256" s="2" t="s">
        <v>15</v>
      </c>
      <c r="F256" s="2" t="s">
        <v>494</v>
      </c>
      <c r="G256" s="2">
        <v>5000</v>
      </c>
      <c r="H256" s="2">
        <v>1</v>
      </c>
      <c r="I256" s="2">
        <v>0.2</v>
      </c>
      <c r="J256" s="2" t="s">
        <v>805</v>
      </c>
      <c r="K256" s="2">
        <v>2035.4</v>
      </c>
      <c r="L256" s="2" t="s">
        <v>17</v>
      </c>
    </row>
    <row r="257" spans="1:12" x14ac:dyDescent="0.25">
      <c r="A257" s="2" t="s">
        <v>40</v>
      </c>
      <c r="B257" s="2" t="s">
        <v>806</v>
      </c>
      <c r="C257" s="2" t="s">
        <v>31</v>
      </c>
      <c r="D257" s="2" t="s">
        <v>506</v>
      </c>
      <c r="E257" s="2" t="s">
        <v>26</v>
      </c>
      <c r="F257" s="2" t="s">
        <v>41</v>
      </c>
      <c r="G257" s="2">
        <v>15000</v>
      </c>
      <c r="H257" s="2">
        <v>1</v>
      </c>
      <c r="I257" s="2">
        <v>0</v>
      </c>
      <c r="J257" s="2" t="s">
        <v>526</v>
      </c>
      <c r="K257" s="2">
        <v>0</v>
      </c>
      <c r="L257" s="2" t="s">
        <v>17</v>
      </c>
    </row>
    <row r="258" spans="1:12" x14ac:dyDescent="0.25">
      <c r="A258" s="2" t="s">
        <v>440</v>
      </c>
      <c r="B258" s="2" t="s">
        <v>807</v>
      </c>
      <c r="C258" s="2" t="s">
        <v>13</v>
      </c>
      <c r="D258" s="2" t="s">
        <v>20</v>
      </c>
      <c r="E258" s="2" t="s">
        <v>49</v>
      </c>
      <c r="F258" s="2" t="s">
        <v>43</v>
      </c>
      <c r="G258" s="2">
        <v>65000</v>
      </c>
      <c r="H258" s="2">
        <v>3</v>
      </c>
      <c r="I258" s="2">
        <v>0.05</v>
      </c>
      <c r="J258" s="2" t="s">
        <v>593</v>
      </c>
      <c r="K258" s="2">
        <v>1263.07</v>
      </c>
      <c r="L258" s="2" t="s">
        <v>17</v>
      </c>
    </row>
    <row r="259" spans="1:12" x14ac:dyDescent="0.25">
      <c r="A259" s="2" t="s">
        <v>297</v>
      </c>
      <c r="B259" s="2" t="s">
        <v>808</v>
      </c>
      <c r="C259" s="2" t="s">
        <v>521</v>
      </c>
      <c r="D259" s="2" t="s">
        <v>506</v>
      </c>
      <c r="E259" s="2" t="s">
        <v>26</v>
      </c>
      <c r="F259" s="2" t="s">
        <v>43</v>
      </c>
      <c r="G259" s="2">
        <v>65000</v>
      </c>
      <c r="H259" s="2">
        <v>2</v>
      </c>
      <c r="I259" s="2">
        <v>0</v>
      </c>
      <c r="J259" s="2" t="s">
        <v>560</v>
      </c>
      <c r="K259" s="2">
        <v>0</v>
      </c>
      <c r="L259" s="2" t="s">
        <v>33</v>
      </c>
    </row>
    <row r="260" spans="1:12" x14ac:dyDescent="0.25">
      <c r="A260" s="2" t="s">
        <v>138</v>
      </c>
      <c r="B260" s="2" t="s">
        <v>809</v>
      </c>
      <c r="C260" s="2" t="s">
        <v>13</v>
      </c>
      <c r="D260" s="2" t="s">
        <v>35</v>
      </c>
      <c r="E260" s="2" t="s">
        <v>26</v>
      </c>
      <c r="F260" s="2" t="s">
        <v>43</v>
      </c>
      <c r="G260" s="2">
        <v>65000</v>
      </c>
      <c r="H260" s="2">
        <v>3</v>
      </c>
      <c r="I260" s="2">
        <v>0</v>
      </c>
      <c r="J260" s="2" t="s">
        <v>648</v>
      </c>
      <c r="K260" s="2">
        <v>802.24</v>
      </c>
      <c r="L260" s="2" t="s">
        <v>33</v>
      </c>
    </row>
    <row r="261" spans="1:12" x14ac:dyDescent="0.25">
      <c r="A261" s="2" t="s">
        <v>213</v>
      </c>
      <c r="B261" s="2" t="s">
        <v>810</v>
      </c>
      <c r="C261" s="2" t="s">
        <v>65</v>
      </c>
      <c r="D261" s="2" t="s">
        <v>506</v>
      </c>
      <c r="E261" s="2" t="s">
        <v>522</v>
      </c>
      <c r="F261" s="2" t="s">
        <v>494</v>
      </c>
      <c r="G261" s="2">
        <v>5000</v>
      </c>
      <c r="H261" s="2">
        <v>2</v>
      </c>
      <c r="I261" s="2">
        <v>0</v>
      </c>
      <c r="J261" s="2" t="s">
        <v>519</v>
      </c>
      <c r="K261" s="2">
        <v>0</v>
      </c>
      <c r="L261" s="2" t="s">
        <v>17</v>
      </c>
    </row>
    <row r="262" spans="1:12" x14ac:dyDescent="0.25">
      <c r="A262" s="2" t="s">
        <v>300</v>
      </c>
      <c r="B262" s="2" t="s">
        <v>811</v>
      </c>
      <c r="C262" s="2" t="s">
        <v>13</v>
      </c>
      <c r="D262" s="2" t="s">
        <v>28</v>
      </c>
      <c r="E262" s="2" t="s">
        <v>49</v>
      </c>
      <c r="F262" s="2" t="s">
        <v>549</v>
      </c>
      <c r="G262" s="2">
        <v>8000</v>
      </c>
      <c r="H262" s="2">
        <v>1</v>
      </c>
      <c r="I262" s="2">
        <v>0</v>
      </c>
      <c r="J262" s="2" t="s">
        <v>495</v>
      </c>
      <c r="K262" s="2">
        <v>0</v>
      </c>
      <c r="L262" s="2" t="s">
        <v>17</v>
      </c>
    </row>
    <row r="263" spans="1:12" x14ac:dyDescent="0.25">
      <c r="A263" s="2" t="s">
        <v>260</v>
      </c>
      <c r="B263" s="2" t="s">
        <v>812</v>
      </c>
      <c r="C263" s="2" t="s">
        <v>13</v>
      </c>
      <c r="D263" s="2" t="s">
        <v>514</v>
      </c>
      <c r="E263" s="2" t="s">
        <v>26</v>
      </c>
      <c r="F263" s="2" t="s">
        <v>22</v>
      </c>
      <c r="G263" s="2">
        <v>35000</v>
      </c>
      <c r="H263" s="2">
        <v>2</v>
      </c>
      <c r="I263" s="2">
        <v>0.1</v>
      </c>
      <c r="J263" s="2" t="s">
        <v>545</v>
      </c>
      <c r="K263" s="2">
        <v>780.3</v>
      </c>
      <c r="L263" s="2" t="s">
        <v>17</v>
      </c>
    </row>
    <row r="264" spans="1:12" x14ac:dyDescent="0.25">
      <c r="A264" s="2" t="s">
        <v>211</v>
      </c>
      <c r="B264" s="2" t="s">
        <v>813</v>
      </c>
      <c r="C264" s="2" t="s">
        <v>13</v>
      </c>
      <c r="D264" s="2" t="s">
        <v>35</v>
      </c>
      <c r="E264" s="2" t="s">
        <v>26</v>
      </c>
      <c r="F264" s="2" t="s">
        <v>41</v>
      </c>
      <c r="G264" s="2">
        <v>15000</v>
      </c>
      <c r="H264" s="2">
        <v>1</v>
      </c>
      <c r="I264" s="2">
        <v>0</v>
      </c>
      <c r="J264" s="2" t="s">
        <v>526</v>
      </c>
      <c r="K264" s="2">
        <v>2686.76</v>
      </c>
      <c r="L264" s="2" t="s">
        <v>17</v>
      </c>
    </row>
    <row r="265" spans="1:12" x14ac:dyDescent="0.25">
      <c r="A265" s="2" t="s">
        <v>313</v>
      </c>
      <c r="B265" s="2" t="s">
        <v>814</v>
      </c>
      <c r="C265" s="2" t="s">
        <v>24</v>
      </c>
      <c r="D265" s="2" t="s">
        <v>534</v>
      </c>
      <c r="E265" s="2" t="s">
        <v>36</v>
      </c>
      <c r="F265" s="2" t="s">
        <v>41</v>
      </c>
      <c r="G265" s="2">
        <v>15000</v>
      </c>
      <c r="H265" s="2">
        <v>1</v>
      </c>
      <c r="I265" s="2">
        <v>0</v>
      </c>
      <c r="J265" s="2" t="s">
        <v>526</v>
      </c>
      <c r="K265" s="2">
        <v>236.39</v>
      </c>
      <c r="L265" s="2" t="s">
        <v>496</v>
      </c>
    </row>
    <row r="266" spans="1:12" x14ac:dyDescent="0.25">
      <c r="A266" s="2" t="s">
        <v>284</v>
      </c>
      <c r="B266" s="2" t="s">
        <v>815</v>
      </c>
      <c r="C266" s="2" t="s">
        <v>13</v>
      </c>
      <c r="D266" s="2" t="s">
        <v>35</v>
      </c>
      <c r="E266" s="2" t="s">
        <v>15</v>
      </c>
      <c r="F266" s="2" t="s">
        <v>494</v>
      </c>
      <c r="G266" s="2">
        <v>5000</v>
      </c>
      <c r="H266" s="2">
        <v>2</v>
      </c>
      <c r="I266" s="2">
        <v>0</v>
      </c>
      <c r="J266" s="2" t="s">
        <v>519</v>
      </c>
      <c r="K266" s="2">
        <v>3289.25</v>
      </c>
      <c r="L266" s="2" t="s">
        <v>33</v>
      </c>
    </row>
    <row r="267" spans="1:12" x14ac:dyDescent="0.25">
      <c r="A267" s="2" t="s">
        <v>464</v>
      </c>
      <c r="B267" s="2" t="s">
        <v>816</v>
      </c>
      <c r="C267" s="2" t="s">
        <v>13</v>
      </c>
      <c r="D267" s="2" t="s">
        <v>506</v>
      </c>
      <c r="E267" s="2" t="s">
        <v>26</v>
      </c>
      <c r="F267" s="2" t="s">
        <v>43</v>
      </c>
      <c r="G267" s="2">
        <v>65000</v>
      </c>
      <c r="H267" s="2">
        <v>2</v>
      </c>
      <c r="I267" s="2">
        <v>0</v>
      </c>
      <c r="J267" s="2" t="s">
        <v>560</v>
      </c>
      <c r="K267" s="2"/>
      <c r="L267" s="2" t="s">
        <v>496</v>
      </c>
    </row>
    <row r="268" spans="1:12" x14ac:dyDescent="0.25">
      <c r="A268" s="2" t="s">
        <v>330</v>
      </c>
      <c r="B268" s="2" t="s">
        <v>817</v>
      </c>
      <c r="C268" s="2" t="s">
        <v>19</v>
      </c>
      <c r="D268" s="2" t="s">
        <v>20</v>
      </c>
      <c r="E268" s="2" t="s">
        <v>36</v>
      </c>
      <c r="F268" s="2" t="s">
        <v>43</v>
      </c>
      <c r="G268" s="2">
        <v>65000</v>
      </c>
      <c r="H268" s="2">
        <v>2</v>
      </c>
      <c r="I268" s="2">
        <v>0.15</v>
      </c>
      <c r="J268" s="2" t="s">
        <v>579</v>
      </c>
      <c r="K268" s="2">
        <v>1870.37</v>
      </c>
      <c r="L268" s="2" t="s">
        <v>17</v>
      </c>
    </row>
    <row r="269" spans="1:12" x14ac:dyDescent="0.25">
      <c r="A269" s="2" t="s">
        <v>453</v>
      </c>
      <c r="B269" s="2" t="s">
        <v>818</v>
      </c>
      <c r="C269" s="2" t="s">
        <v>31</v>
      </c>
      <c r="D269" s="2"/>
      <c r="E269" s="2" t="s">
        <v>15</v>
      </c>
      <c r="F269" s="2" t="s">
        <v>43</v>
      </c>
      <c r="G269" s="2">
        <v>65000</v>
      </c>
      <c r="H269" s="2">
        <v>1</v>
      </c>
      <c r="I269" s="2">
        <v>0</v>
      </c>
      <c r="J269" s="2" t="s">
        <v>523</v>
      </c>
      <c r="K269" s="2">
        <v>0</v>
      </c>
      <c r="L269" s="2" t="s">
        <v>500</v>
      </c>
    </row>
    <row r="270" spans="1:12" x14ac:dyDescent="0.25">
      <c r="A270" s="2" t="s">
        <v>329</v>
      </c>
      <c r="B270" s="2" t="s">
        <v>819</v>
      </c>
      <c r="C270" s="2" t="s">
        <v>19</v>
      </c>
      <c r="D270" s="2" t="s">
        <v>38</v>
      </c>
      <c r="E270" s="2" t="s">
        <v>21</v>
      </c>
      <c r="F270" s="2" t="s">
        <v>43</v>
      </c>
      <c r="G270" s="2">
        <v>65000</v>
      </c>
      <c r="H270" s="2">
        <v>1</v>
      </c>
      <c r="I270" s="2">
        <v>0</v>
      </c>
      <c r="J270" s="2" t="s">
        <v>523</v>
      </c>
      <c r="K270" s="2">
        <v>0</v>
      </c>
      <c r="L270" s="2" t="s">
        <v>33</v>
      </c>
    </row>
    <row r="271" spans="1:12" x14ac:dyDescent="0.25">
      <c r="A271" s="2" t="s">
        <v>447</v>
      </c>
      <c r="B271" s="2" t="s">
        <v>820</v>
      </c>
      <c r="C271" s="2" t="s">
        <v>31</v>
      </c>
      <c r="D271" s="2" t="s">
        <v>38</v>
      </c>
      <c r="E271" s="2" t="s">
        <v>39</v>
      </c>
      <c r="F271" s="2" t="s">
        <v>549</v>
      </c>
      <c r="G271" s="2">
        <v>8000</v>
      </c>
      <c r="H271" s="2">
        <v>1</v>
      </c>
      <c r="I271" s="2">
        <v>0.15</v>
      </c>
      <c r="J271" s="2" t="s">
        <v>638</v>
      </c>
      <c r="K271" s="2">
        <v>0</v>
      </c>
      <c r="L271" s="2" t="s">
        <v>33</v>
      </c>
    </row>
    <row r="272" spans="1:12" x14ac:dyDescent="0.25">
      <c r="A272" s="2" t="s">
        <v>208</v>
      </c>
      <c r="B272" s="2" t="s">
        <v>821</v>
      </c>
      <c r="C272" s="2" t="s">
        <v>31</v>
      </c>
      <c r="D272" s="2" t="s">
        <v>506</v>
      </c>
      <c r="E272" s="2" t="s">
        <v>36</v>
      </c>
      <c r="F272" s="2" t="s">
        <v>22</v>
      </c>
      <c r="G272" s="2">
        <v>35000</v>
      </c>
      <c r="H272" s="2">
        <v>1</v>
      </c>
      <c r="I272" s="2">
        <v>0</v>
      </c>
      <c r="J272" s="2" t="s">
        <v>616</v>
      </c>
      <c r="K272" s="2"/>
      <c r="L272" s="2" t="s">
        <v>33</v>
      </c>
    </row>
    <row r="273" spans="1:12" x14ac:dyDescent="0.25">
      <c r="A273" s="2" t="s">
        <v>369</v>
      </c>
      <c r="B273" s="2" t="s">
        <v>822</v>
      </c>
      <c r="C273" s="2" t="s">
        <v>13</v>
      </c>
      <c r="D273" s="2" t="s">
        <v>38</v>
      </c>
      <c r="E273" s="2" t="s">
        <v>26</v>
      </c>
      <c r="F273" s="2" t="s">
        <v>41</v>
      </c>
      <c r="G273" s="2">
        <v>15000</v>
      </c>
      <c r="H273" s="2">
        <v>2</v>
      </c>
      <c r="I273" s="2">
        <v>0.1</v>
      </c>
      <c r="J273" s="2" t="s">
        <v>583</v>
      </c>
      <c r="K273" s="2">
        <v>0</v>
      </c>
      <c r="L273" s="2" t="s">
        <v>33</v>
      </c>
    </row>
    <row r="274" spans="1:12" x14ac:dyDescent="0.25">
      <c r="A274" s="2" t="s">
        <v>216</v>
      </c>
      <c r="B274" s="2" t="s">
        <v>823</v>
      </c>
      <c r="C274" s="2" t="s">
        <v>13</v>
      </c>
      <c r="D274" s="2" t="s">
        <v>506</v>
      </c>
      <c r="E274" s="2" t="s">
        <v>21</v>
      </c>
      <c r="F274" s="2" t="s">
        <v>549</v>
      </c>
      <c r="G274" s="2">
        <v>8000</v>
      </c>
      <c r="H274" s="2">
        <v>1</v>
      </c>
      <c r="I274" s="2">
        <v>0</v>
      </c>
      <c r="J274" s="2" t="s">
        <v>495</v>
      </c>
      <c r="K274" s="2"/>
      <c r="L274" s="2" t="s">
        <v>17</v>
      </c>
    </row>
    <row r="275" spans="1:12" x14ac:dyDescent="0.25">
      <c r="A275" s="2" t="s">
        <v>243</v>
      </c>
      <c r="B275" s="2" t="s">
        <v>824</v>
      </c>
      <c r="C275" s="2" t="s">
        <v>31</v>
      </c>
      <c r="D275" s="2" t="s">
        <v>534</v>
      </c>
      <c r="E275" s="2"/>
      <c r="F275" s="2" t="s">
        <v>549</v>
      </c>
      <c r="G275" s="2">
        <v>8000</v>
      </c>
      <c r="H275" s="2">
        <v>1</v>
      </c>
      <c r="I275" s="2">
        <v>0.05</v>
      </c>
      <c r="J275" s="2" t="s">
        <v>504</v>
      </c>
      <c r="K275" s="2">
        <v>3376.8</v>
      </c>
      <c r="L275" s="2" t="s">
        <v>33</v>
      </c>
    </row>
    <row r="276" spans="1:12" x14ac:dyDescent="0.25">
      <c r="A276" s="2" t="s">
        <v>178</v>
      </c>
      <c r="B276" s="2" t="s">
        <v>825</v>
      </c>
      <c r="C276" s="2" t="s">
        <v>65</v>
      </c>
      <c r="D276" s="2" t="s">
        <v>20</v>
      </c>
      <c r="E276" s="2" t="s">
        <v>522</v>
      </c>
      <c r="F276" s="2" t="s">
        <v>22</v>
      </c>
      <c r="G276" s="2">
        <v>35000</v>
      </c>
      <c r="H276" s="2">
        <v>1</v>
      </c>
      <c r="I276" s="2">
        <v>0</v>
      </c>
      <c r="J276" s="2" t="s">
        <v>616</v>
      </c>
      <c r="K276" s="2">
        <v>3327.37</v>
      </c>
      <c r="L276" s="2" t="s">
        <v>17</v>
      </c>
    </row>
    <row r="277" spans="1:12" x14ac:dyDescent="0.25">
      <c r="A277" s="2" t="s">
        <v>400</v>
      </c>
      <c r="B277" s="2" t="s">
        <v>826</v>
      </c>
      <c r="C277" s="2" t="s">
        <v>81</v>
      </c>
      <c r="D277" s="2" t="s">
        <v>20</v>
      </c>
      <c r="E277" s="2" t="s">
        <v>522</v>
      </c>
      <c r="F277" s="2" t="s">
        <v>549</v>
      </c>
      <c r="G277" s="2">
        <v>8000</v>
      </c>
      <c r="H277" s="2">
        <v>1</v>
      </c>
      <c r="I277" s="2">
        <v>0</v>
      </c>
      <c r="J277" s="2" t="s">
        <v>495</v>
      </c>
      <c r="K277" s="2">
        <v>3206.49</v>
      </c>
      <c r="L277" s="2" t="s">
        <v>17</v>
      </c>
    </row>
    <row r="278" spans="1:12" x14ac:dyDescent="0.25">
      <c r="A278" s="2" t="s">
        <v>419</v>
      </c>
      <c r="B278" s="2" t="s">
        <v>827</v>
      </c>
      <c r="C278" s="2" t="s">
        <v>24</v>
      </c>
      <c r="D278" s="2" t="s">
        <v>506</v>
      </c>
      <c r="E278" s="2" t="s">
        <v>522</v>
      </c>
      <c r="F278" s="2" t="s">
        <v>494</v>
      </c>
      <c r="G278" s="2">
        <v>5000</v>
      </c>
      <c r="H278" s="2">
        <v>3</v>
      </c>
      <c r="I278" s="2">
        <v>0.15</v>
      </c>
      <c r="J278" s="2" t="s">
        <v>502</v>
      </c>
      <c r="K278" s="2">
        <v>0</v>
      </c>
      <c r="L278" s="2" t="s">
        <v>496</v>
      </c>
    </row>
    <row r="279" spans="1:12" x14ac:dyDescent="0.25">
      <c r="A279" s="2" t="s">
        <v>362</v>
      </c>
      <c r="B279" s="2" t="s">
        <v>828</v>
      </c>
      <c r="C279" s="2" t="s">
        <v>13</v>
      </c>
      <c r="D279" s="2" t="s">
        <v>20</v>
      </c>
      <c r="E279" s="2" t="s">
        <v>525</v>
      </c>
      <c r="F279" s="2" t="s">
        <v>41</v>
      </c>
      <c r="G279" s="2">
        <v>15000</v>
      </c>
      <c r="H279" s="2">
        <v>3</v>
      </c>
      <c r="I279" s="2">
        <v>0.15</v>
      </c>
      <c r="J279" s="2" t="s">
        <v>829</v>
      </c>
      <c r="K279" s="2">
        <v>1639.39</v>
      </c>
      <c r="L279" s="2" t="s">
        <v>33</v>
      </c>
    </row>
    <row r="280" spans="1:12" x14ac:dyDescent="0.25">
      <c r="A280" s="2" t="s">
        <v>434</v>
      </c>
      <c r="B280" s="2" t="s">
        <v>830</v>
      </c>
      <c r="C280" s="2" t="s">
        <v>31</v>
      </c>
      <c r="D280" s="2" t="s">
        <v>32</v>
      </c>
      <c r="E280" s="2" t="s">
        <v>26</v>
      </c>
      <c r="F280" s="2" t="s">
        <v>549</v>
      </c>
      <c r="G280" s="2">
        <v>8000</v>
      </c>
      <c r="H280" s="2">
        <v>1</v>
      </c>
      <c r="I280" s="2">
        <v>0.05</v>
      </c>
      <c r="J280" s="2" t="s">
        <v>720</v>
      </c>
      <c r="K280" s="2">
        <v>1900.27</v>
      </c>
      <c r="L280" s="2" t="s">
        <v>17</v>
      </c>
    </row>
    <row r="281" spans="1:12" x14ac:dyDescent="0.25">
      <c r="A281" s="2" t="s">
        <v>348</v>
      </c>
      <c r="B281" s="2" t="s">
        <v>831</v>
      </c>
      <c r="C281" s="2" t="s">
        <v>19</v>
      </c>
      <c r="D281" s="2" t="s">
        <v>20</v>
      </c>
      <c r="E281" s="2" t="s">
        <v>26</v>
      </c>
      <c r="F281" s="2" t="s">
        <v>494</v>
      </c>
      <c r="G281" s="2">
        <v>5000</v>
      </c>
      <c r="H281" s="2">
        <v>1</v>
      </c>
      <c r="I281" s="2">
        <v>0.1</v>
      </c>
      <c r="J281" s="2" t="s">
        <v>567</v>
      </c>
      <c r="K281" s="2">
        <v>2162.09</v>
      </c>
      <c r="L281" s="2" t="s">
        <v>17</v>
      </c>
    </row>
    <row r="282" spans="1:12" x14ac:dyDescent="0.25">
      <c r="A282" s="2" t="s">
        <v>142</v>
      </c>
      <c r="B282" s="2" t="s">
        <v>832</v>
      </c>
      <c r="C282" s="2" t="s">
        <v>19</v>
      </c>
      <c r="D282" s="2" t="s">
        <v>534</v>
      </c>
      <c r="E282" s="2" t="s">
        <v>36</v>
      </c>
      <c r="F282" s="2" t="s">
        <v>43</v>
      </c>
      <c r="G282" s="2">
        <v>65000</v>
      </c>
      <c r="H282" s="2">
        <v>1</v>
      </c>
      <c r="I282" s="2">
        <v>0.15</v>
      </c>
      <c r="J282" s="2" t="s">
        <v>564</v>
      </c>
      <c r="K282" s="2"/>
      <c r="L282" s="2" t="s">
        <v>33</v>
      </c>
    </row>
    <row r="283" spans="1:12" x14ac:dyDescent="0.25">
      <c r="A283" s="2" t="s">
        <v>355</v>
      </c>
      <c r="B283" s="2" t="s">
        <v>833</v>
      </c>
      <c r="C283" s="2" t="s">
        <v>31</v>
      </c>
      <c r="D283" s="2" t="s">
        <v>38</v>
      </c>
      <c r="E283" s="2" t="s">
        <v>525</v>
      </c>
      <c r="F283" s="2" t="s">
        <v>41</v>
      </c>
      <c r="G283" s="2">
        <v>15000</v>
      </c>
      <c r="H283" s="2">
        <v>1</v>
      </c>
      <c r="I283" s="2">
        <v>0.2</v>
      </c>
      <c r="J283" s="2" t="s">
        <v>589</v>
      </c>
      <c r="K283" s="2">
        <v>0</v>
      </c>
      <c r="L283" s="2" t="s">
        <v>17</v>
      </c>
    </row>
    <row r="284" spans="1:12" x14ac:dyDescent="0.25">
      <c r="A284" s="2" t="s">
        <v>360</v>
      </c>
      <c r="B284" s="2" t="s">
        <v>834</v>
      </c>
      <c r="C284" s="2" t="s">
        <v>19</v>
      </c>
      <c r="D284" s="2" t="s">
        <v>20</v>
      </c>
      <c r="E284" s="2" t="s">
        <v>15</v>
      </c>
      <c r="F284" s="2" t="s">
        <v>22</v>
      </c>
      <c r="G284" s="2">
        <v>35000</v>
      </c>
      <c r="H284" s="2">
        <v>1</v>
      </c>
      <c r="I284" s="2">
        <v>0.2</v>
      </c>
      <c r="J284" s="2" t="s">
        <v>575</v>
      </c>
      <c r="K284" s="2">
        <v>1888.29</v>
      </c>
      <c r="L284" s="2" t="s">
        <v>17</v>
      </c>
    </row>
    <row r="285" spans="1:12" x14ac:dyDescent="0.25">
      <c r="A285" s="2" t="s">
        <v>294</v>
      </c>
      <c r="B285" s="2" t="s">
        <v>835</v>
      </c>
      <c r="C285" s="2" t="s">
        <v>19</v>
      </c>
      <c r="D285" s="2" t="s">
        <v>534</v>
      </c>
      <c r="E285" s="2" t="s">
        <v>49</v>
      </c>
      <c r="F285" s="2" t="s">
        <v>41</v>
      </c>
      <c r="G285" s="2">
        <v>15000</v>
      </c>
      <c r="H285" s="2">
        <v>3</v>
      </c>
      <c r="I285" s="2">
        <v>0</v>
      </c>
      <c r="J285" s="2" t="s">
        <v>517</v>
      </c>
      <c r="K285" s="2">
        <v>1908.28</v>
      </c>
      <c r="L285" s="2" t="s">
        <v>17</v>
      </c>
    </row>
    <row r="286" spans="1:12" x14ac:dyDescent="0.25">
      <c r="A286" s="2" t="s">
        <v>52</v>
      </c>
      <c r="B286" s="2" t="s">
        <v>582</v>
      </c>
      <c r="C286" s="2" t="s">
        <v>511</v>
      </c>
      <c r="D286" s="2" t="s">
        <v>20</v>
      </c>
      <c r="E286" s="2" t="s">
        <v>522</v>
      </c>
      <c r="F286" s="2" t="s">
        <v>549</v>
      </c>
      <c r="G286" s="2">
        <v>8000</v>
      </c>
      <c r="H286" s="2">
        <v>1</v>
      </c>
      <c r="I286" s="2">
        <v>0.2</v>
      </c>
      <c r="J286" s="2" t="s">
        <v>605</v>
      </c>
      <c r="K286" s="2">
        <v>846.77</v>
      </c>
      <c r="L286" s="2" t="s">
        <v>17</v>
      </c>
    </row>
    <row r="287" spans="1:12" x14ac:dyDescent="0.25">
      <c r="A287" s="2" t="s">
        <v>52</v>
      </c>
      <c r="B287" s="2" t="s">
        <v>582</v>
      </c>
      <c r="C287" s="2" t="s">
        <v>511</v>
      </c>
      <c r="D287" s="2" t="s">
        <v>20</v>
      </c>
      <c r="E287" s="2" t="s">
        <v>522</v>
      </c>
      <c r="F287" s="2" t="s">
        <v>549</v>
      </c>
      <c r="G287" s="2">
        <v>8000</v>
      </c>
      <c r="H287" s="2">
        <v>1</v>
      </c>
      <c r="I287" s="2">
        <v>0.2</v>
      </c>
      <c r="J287" s="2" t="s">
        <v>605</v>
      </c>
      <c r="K287" s="2">
        <v>846.77</v>
      </c>
      <c r="L287" s="2" t="s">
        <v>17</v>
      </c>
    </row>
    <row r="288" spans="1:12" x14ac:dyDescent="0.25">
      <c r="A288" s="2" t="s">
        <v>442</v>
      </c>
      <c r="B288" s="2" t="s">
        <v>711</v>
      </c>
      <c r="C288" s="2" t="s">
        <v>31</v>
      </c>
      <c r="D288" s="2" t="s">
        <v>28</v>
      </c>
      <c r="E288" s="2" t="s">
        <v>525</v>
      </c>
      <c r="F288" s="2" t="s">
        <v>41</v>
      </c>
      <c r="G288" s="2">
        <v>15000</v>
      </c>
      <c r="H288" s="2">
        <v>2</v>
      </c>
      <c r="I288" s="2">
        <v>0.05</v>
      </c>
      <c r="J288" s="2" t="s">
        <v>706</v>
      </c>
      <c r="K288" s="2">
        <v>0</v>
      </c>
      <c r="L288" s="2" t="s">
        <v>33</v>
      </c>
    </row>
    <row r="289" spans="1:12" x14ac:dyDescent="0.25">
      <c r="A289" s="2" t="s">
        <v>195</v>
      </c>
      <c r="B289" s="2" t="s">
        <v>836</v>
      </c>
      <c r="C289" s="2" t="s">
        <v>24</v>
      </c>
      <c r="D289" s="2" t="s">
        <v>20</v>
      </c>
      <c r="E289" s="2" t="s">
        <v>21</v>
      </c>
      <c r="F289" s="2" t="s">
        <v>41</v>
      </c>
      <c r="G289" s="2">
        <v>15000</v>
      </c>
      <c r="H289" s="2">
        <v>2</v>
      </c>
      <c r="I289" s="2">
        <v>0</v>
      </c>
      <c r="J289" s="2" t="s">
        <v>499</v>
      </c>
      <c r="K289" s="2">
        <v>2878.49</v>
      </c>
      <c r="L289" s="2" t="s">
        <v>33</v>
      </c>
    </row>
    <row r="290" spans="1:12" x14ac:dyDescent="0.25">
      <c r="A290" s="2" t="s">
        <v>382</v>
      </c>
      <c r="B290" s="2" t="s">
        <v>837</v>
      </c>
      <c r="C290" s="2" t="s">
        <v>13</v>
      </c>
      <c r="D290" s="2" t="s">
        <v>506</v>
      </c>
      <c r="E290" s="2" t="s">
        <v>39</v>
      </c>
      <c r="F290" s="2" t="s">
        <v>41</v>
      </c>
      <c r="G290" s="2">
        <v>15000</v>
      </c>
      <c r="H290" s="2">
        <v>1</v>
      </c>
      <c r="I290" s="2">
        <v>0.2</v>
      </c>
      <c r="J290" s="2" t="s">
        <v>589</v>
      </c>
      <c r="K290" s="2">
        <v>0</v>
      </c>
      <c r="L290" s="2" t="s">
        <v>17</v>
      </c>
    </row>
    <row r="291" spans="1:12" x14ac:dyDescent="0.25">
      <c r="A291" s="2" t="s">
        <v>92</v>
      </c>
      <c r="B291" s="2" t="s">
        <v>838</v>
      </c>
      <c r="C291" s="2" t="s">
        <v>13</v>
      </c>
      <c r="D291" s="2" t="s">
        <v>32</v>
      </c>
      <c r="E291" s="2" t="s">
        <v>26</v>
      </c>
      <c r="F291" s="2" t="s">
        <v>22</v>
      </c>
      <c r="G291" s="2">
        <v>35000</v>
      </c>
      <c r="H291" s="2">
        <v>2</v>
      </c>
      <c r="I291" s="2">
        <v>0.05</v>
      </c>
      <c r="J291" s="2" t="s">
        <v>535</v>
      </c>
      <c r="K291" s="2">
        <v>3002.36</v>
      </c>
      <c r="L291" s="2" t="s">
        <v>496</v>
      </c>
    </row>
    <row r="292" spans="1:12" x14ac:dyDescent="0.25">
      <c r="A292" s="2" t="s">
        <v>150</v>
      </c>
      <c r="B292" s="2" t="s">
        <v>839</v>
      </c>
      <c r="C292" s="2" t="s">
        <v>521</v>
      </c>
      <c r="D292" s="2" t="s">
        <v>578</v>
      </c>
      <c r="E292" s="2" t="s">
        <v>39</v>
      </c>
      <c r="F292" s="2" t="s">
        <v>41</v>
      </c>
      <c r="G292" s="2">
        <v>15000</v>
      </c>
      <c r="H292" s="2">
        <v>1</v>
      </c>
      <c r="I292" s="2">
        <v>0.15</v>
      </c>
      <c r="J292" s="2" t="s">
        <v>502</v>
      </c>
      <c r="K292" s="2">
        <v>1956.41</v>
      </c>
      <c r="L292" s="2" t="s">
        <v>17</v>
      </c>
    </row>
    <row r="293" spans="1:12" x14ac:dyDescent="0.25">
      <c r="A293" s="2" t="s">
        <v>161</v>
      </c>
      <c r="B293" s="2" t="s">
        <v>840</v>
      </c>
      <c r="C293" s="2" t="s">
        <v>31</v>
      </c>
      <c r="D293" s="2" t="s">
        <v>506</v>
      </c>
      <c r="E293" s="2" t="s">
        <v>36</v>
      </c>
      <c r="F293" s="2" t="s">
        <v>494</v>
      </c>
      <c r="G293" s="2">
        <v>5000</v>
      </c>
      <c r="H293" s="2">
        <v>1</v>
      </c>
      <c r="I293" s="2">
        <v>0.2</v>
      </c>
      <c r="J293" s="2" t="s">
        <v>805</v>
      </c>
      <c r="K293" s="2">
        <v>0</v>
      </c>
      <c r="L293" s="2" t="s">
        <v>500</v>
      </c>
    </row>
    <row r="294" spans="1:12" x14ac:dyDescent="0.25">
      <c r="A294" s="2" t="s">
        <v>222</v>
      </c>
      <c r="B294" s="2" t="s">
        <v>841</v>
      </c>
      <c r="C294" s="2" t="s">
        <v>81</v>
      </c>
      <c r="D294" s="2" t="s">
        <v>38</v>
      </c>
      <c r="E294" s="2" t="s">
        <v>39</v>
      </c>
      <c r="F294" s="2" t="s">
        <v>549</v>
      </c>
      <c r="G294" s="2">
        <v>8000</v>
      </c>
      <c r="H294" s="2">
        <v>1</v>
      </c>
      <c r="I294" s="2">
        <v>0.15</v>
      </c>
      <c r="J294" s="2" t="s">
        <v>638</v>
      </c>
      <c r="K294" s="2">
        <v>0</v>
      </c>
      <c r="L294" s="2" t="s">
        <v>33</v>
      </c>
    </row>
    <row r="295" spans="1:12" x14ac:dyDescent="0.25">
      <c r="A295" s="2" t="s">
        <v>27</v>
      </c>
      <c r="B295" s="2" t="s">
        <v>842</v>
      </c>
      <c r="C295" s="2" t="s">
        <v>511</v>
      </c>
      <c r="D295" s="2" t="s">
        <v>28</v>
      </c>
      <c r="E295" s="2" t="s">
        <v>21</v>
      </c>
      <c r="F295" s="2" t="s">
        <v>549</v>
      </c>
      <c r="G295" s="2">
        <v>8000</v>
      </c>
      <c r="H295" s="2">
        <v>2</v>
      </c>
      <c r="I295" s="2">
        <v>0</v>
      </c>
      <c r="J295" s="2" t="s">
        <v>550</v>
      </c>
      <c r="K295" s="2">
        <v>0</v>
      </c>
      <c r="L295" s="2" t="s">
        <v>17</v>
      </c>
    </row>
    <row r="296" spans="1:12" x14ac:dyDescent="0.25">
      <c r="A296" s="2" t="s">
        <v>42</v>
      </c>
      <c r="B296" s="2" t="s">
        <v>612</v>
      </c>
      <c r="C296" s="2" t="s">
        <v>31</v>
      </c>
      <c r="D296" s="2" t="s">
        <v>534</v>
      </c>
      <c r="E296" s="2" t="s">
        <v>36</v>
      </c>
      <c r="F296" s="2" t="s">
        <v>43</v>
      </c>
      <c r="G296" s="2">
        <v>65000</v>
      </c>
      <c r="H296" s="2">
        <v>2</v>
      </c>
      <c r="I296" s="2">
        <v>0.1</v>
      </c>
      <c r="J296" s="2" t="s">
        <v>507</v>
      </c>
      <c r="K296" s="2">
        <v>1213.8900000000001</v>
      </c>
      <c r="L296" s="2" t="s">
        <v>17</v>
      </c>
    </row>
    <row r="297" spans="1:12" x14ac:dyDescent="0.25">
      <c r="A297" s="2" t="s">
        <v>112</v>
      </c>
      <c r="B297" s="2" t="s">
        <v>544</v>
      </c>
      <c r="C297" s="2" t="s">
        <v>521</v>
      </c>
      <c r="D297" s="2" t="s">
        <v>35</v>
      </c>
      <c r="E297" s="2" t="s">
        <v>522</v>
      </c>
      <c r="F297" s="2" t="s">
        <v>43</v>
      </c>
      <c r="G297" s="2">
        <v>65000</v>
      </c>
      <c r="H297" s="2">
        <v>1</v>
      </c>
      <c r="I297" s="2">
        <v>0.2</v>
      </c>
      <c r="J297" s="2" t="s">
        <v>512</v>
      </c>
      <c r="K297" s="2">
        <v>860.63</v>
      </c>
      <c r="L297" s="2" t="s">
        <v>17</v>
      </c>
    </row>
    <row r="298" spans="1:12" x14ac:dyDescent="0.25">
      <c r="A298" s="2" t="s">
        <v>48</v>
      </c>
      <c r="B298" s="2" t="s">
        <v>843</v>
      </c>
      <c r="C298" s="2" t="s">
        <v>24</v>
      </c>
      <c r="D298" s="2" t="s">
        <v>32</v>
      </c>
      <c r="E298" s="2" t="s">
        <v>49</v>
      </c>
      <c r="F298" s="2" t="s">
        <v>43</v>
      </c>
      <c r="G298" s="2">
        <v>65000</v>
      </c>
      <c r="H298" s="2">
        <v>2</v>
      </c>
      <c r="I298" s="2">
        <v>0.05</v>
      </c>
      <c r="J298" s="2" t="s">
        <v>547</v>
      </c>
      <c r="K298" s="2">
        <v>1707.42</v>
      </c>
      <c r="L298" s="2" t="s">
        <v>496</v>
      </c>
    </row>
    <row r="299" spans="1:12" x14ac:dyDescent="0.25">
      <c r="A299" s="2" t="s">
        <v>210</v>
      </c>
      <c r="B299" s="2" t="s">
        <v>844</v>
      </c>
      <c r="C299" s="2" t="s">
        <v>31</v>
      </c>
      <c r="D299" s="2" t="s">
        <v>506</v>
      </c>
      <c r="E299" s="2" t="s">
        <v>522</v>
      </c>
      <c r="F299" s="2" t="s">
        <v>43</v>
      </c>
      <c r="G299" s="2">
        <v>65000</v>
      </c>
      <c r="H299" s="2">
        <v>2</v>
      </c>
      <c r="I299" s="2">
        <v>0.15</v>
      </c>
      <c r="J299" s="2" t="s">
        <v>579</v>
      </c>
      <c r="K299" s="2">
        <v>0</v>
      </c>
      <c r="L299" s="2" t="s">
        <v>33</v>
      </c>
    </row>
    <row r="300" spans="1:12" x14ac:dyDescent="0.25">
      <c r="A300" s="2" t="s">
        <v>157</v>
      </c>
      <c r="B300" s="2" t="s">
        <v>845</v>
      </c>
      <c r="C300" s="2" t="s">
        <v>19</v>
      </c>
      <c r="D300" s="2" t="s">
        <v>514</v>
      </c>
      <c r="E300" s="2" t="s">
        <v>49</v>
      </c>
      <c r="F300" s="2" t="s">
        <v>43</v>
      </c>
      <c r="G300" s="2">
        <v>65000</v>
      </c>
      <c r="H300" s="2">
        <v>1</v>
      </c>
      <c r="I300" s="2">
        <v>0.2</v>
      </c>
      <c r="J300" s="2" t="s">
        <v>512</v>
      </c>
      <c r="K300" s="2">
        <v>3341.65</v>
      </c>
      <c r="L300" s="2" t="s">
        <v>17</v>
      </c>
    </row>
    <row r="301" spans="1:12" x14ac:dyDescent="0.25">
      <c r="A301" s="2" t="s">
        <v>259</v>
      </c>
      <c r="B301" s="2" t="s">
        <v>846</v>
      </c>
      <c r="C301" s="2" t="s">
        <v>19</v>
      </c>
      <c r="D301" s="2" t="s">
        <v>38</v>
      </c>
      <c r="E301" s="2" t="s">
        <v>522</v>
      </c>
      <c r="F301" s="2" t="s">
        <v>494</v>
      </c>
      <c r="G301" s="2">
        <v>5000</v>
      </c>
      <c r="H301" s="2">
        <v>2</v>
      </c>
      <c r="I301" s="2">
        <v>0</v>
      </c>
      <c r="J301" s="2" t="s">
        <v>519</v>
      </c>
      <c r="K301" s="2">
        <v>0</v>
      </c>
      <c r="L301" s="2" t="s">
        <v>496</v>
      </c>
    </row>
    <row r="302" spans="1:12" x14ac:dyDescent="0.25">
      <c r="A302" s="2" t="s">
        <v>259</v>
      </c>
      <c r="B302" s="2" t="s">
        <v>846</v>
      </c>
      <c r="C302" s="2" t="s">
        <v>19</v>
      </c>
      <c r="D302" s="2" t="s">
        <v>38</v>
      </c>
      <c r="E302" s="2" t="s">
        <v>522</v>
      </c>
      <c r="F302" s="2" t="s">
        <v>494</v>
      </c>
      <c r="G302" s="2">
        <v>5000</v>
      </c>
      <c r="H302" s="2">
        <v>2</v>
      </c>
      <c r="I302" s="2">
        <v>0</v>
      </c>
      <c r="J302" s="2" t="s">
        <v>519</v>
      </c>
      <c r="K302" s="2">
        <v>0</v>
      </c>
      <c r="L302" s="2" t="s">
        <v>496</v>
      </c>
    </row>
    <row r="303" spans="1:12" x14ac:dyDescent="0.25">
      <c r="A303" s="2" t="s">
        <v>114</v>
      </c>
      <c r="B303" s="2" t="s">
        <v>847</v>
      </c>
      <c r="C303" s="2" t="s">
        <v>511</v>
      </c>
      <c r="D303" s="2" t="s">
        <v>498</v>
      </c>
      <c r="E303" s="2" t="s">
        <v>36</v>
      </c>
      <c r="F303" s="2" t="s">
        <v>41</v>
      </c>
      <c r="G303" s="2">
        <v>15000</v>
      </c>
      <c r="H303" s="2">
        <v>1</v>
      </c>
      <c r="I303" s="2">
        <v>0.05</v>
      </c>
      <c r="J303" s="2" t="s">
        <v>581</v>
      </c>
      <c r="K303" s="2">
        <v>1128.27</v>
      </c>
      <c r="L303" s="2" t="s">
        <v>33</v>
      </c>
    </row>
    <row r="304" spans="1:12" x14ac:dyDescent="0.25">
      <c r="A304" s="2" t="s">
        <v>427</v>
      </c>
      <c r="B304" s="2" t="s">
        <v>848</v>
      </c>
      <c r="C304" s="2" t="s">
        <v>19</v>
      </c>
      <c r="D304" s="2" t="s">
        <v>20</v>
      </c>
      <c r="E304" s="2" t="s">
        <v>39</v>
      </c>
      <c r="F304" s="2" t="s">
        <v>41</v>
      </c>
      <c r="G304" s="2">
        <v>15000</v>
      </c>
      <c r="H304" s="2">
        <v>3</v>
      </c>
      <c r="I304" s="2">
        <v>0.1</v>
      </c>
      <c r="J304" s="2" t="s">
        <v>849</v>
      </c>
      <c r="K304" s="2">
        <v>249.92</v>
      </c>
      <c r="L304" s="2" t="s">
        <v>17</v>
      </c>
    </row>
    <row r="305" spans="1:12" x14ac:dyDescent="0.25">
      <c r="A305" s="2" t="s">
        <v>176</v>
      </c>
      <c r="B305" s="2" t="s">
        <v>850</v>
      </c>
      <c r="C305" s="2" t="s">
        <v>24</v>
      </c>
      <c r="D305" s="2" t="s">
        <v>38</v>
      </c>
      <c r="E305" s="2" t="s">
        <v>36</v>
      </c>
      <c r="F305" s="2" t="s">
        <v>494</v>
      </c>
      <c r="G305" s="2">
        <v>5000</v>
      </c>
      <c r="H305" s="2">
        <v>2</v>
      </c>
      <c r="I305" s="2">
        <v>0</v>
      </c>
      <c r="J305" s="2" t="s">
        <v>519</v>
      </c>
      <c r="K305" s="2">
        <v>0</v>
      </c>
      <c r="L305" s="2" t="s">
        <v>17</v>
      </c>
    </row>
    <row r="306" spans="1:12" x14ac:dyDescent="0.25">
      <c r="A306" s="2" t="s">
        <v>82</v>
      </c>
      <c r="B306" s="2" t="s">
        <v>851</v>
      </c>
      <c r="C306" s="2" t="s">
        <v>81</v>
      </c>
      <c r="D306" s="2" t="s">
        <v>20</v>
      </c>
      <c r="E306" s="2" t="s">
        <v>525</v>
      </c>
      <c r="F306" s="2" t="s">
        <v>549</v>
      </c>
      <c r="G306" s="2">
        <v>8000</v>
      </c>
      <c r="H306" s="2">
        <v>3</v>
      </c>
      <c r="I306" s="2">
        <v>0</v>
      </c>
      <c r="J306" s="2" t="s">
        <v>515</v>
      </c>
      <c r="K306" s="2">
        <v>3158.51</v>
      </c>
      <c r="L306" s="2" t="s">
        <v>17</v>
      </c>
    </row>
    <row r="307" spans="1:12" x14ac:dyDescent="0.25">
      <c r="A307" s="2" t="s">
        <v>257</v>
      </c>
      <c r="B307" s="2" t="s">
        <v>852</v>
      </c>
      <c r="C307" s="2" t="s">
        <v>81</v>
      </c>
      <c r="D307" s="2" t="s">
        <v>20</v>
      </c>
      <c r="E307" s="2" t="s">
        <v>36</v>
      </c>
      <c r="F307" s="2" t="s">
        <v>43</v>
      </c>
      <c r="G307" s="2">
        <v>65000</v>
      </c>
      <c r="H307" s="2">
        <v>1</v>
      </c>
      <c r="I307" s="2">
        <v>0.15</v>
      </c>
      <c r="J307" s="2" t="s">
        <v>564</v>
      </c>
      <c r="K307" s="2">
        <v>3466.63</v>
      </c>
      <c r="L307" s="2" t="s">
        <v>17</v>
      </c>
    </row>
    <row r="308" spans="1:12" x14ac:dyDescent="0.25">
      <c r="A308" s="2" t="s">
        <v>199</v>
      </c>
      <c r="B308" s="2" t="s">
        <v>853</v>
      </c>
      <c r="C308" s="2"/>
      <c r="D308" s="2" t="s">
        <v>506</v>
      </c>
      <c r="E308" s="2" t="s">
        <v>525</v>
      </c>
      <c r="F308" s="2" t="s">
        <v>41</v>
      </c>
      <c r="G308" s="2">
        <v>15000</v>
      </c>
      <c r="H308" s="2">
        <v>1</v>
      </c>
      <c r="I308" s="2">
        <v>0</v>
      </c>
      <c r="J308" s="2" t="s">
        <v>526</v>
      </c>
      <c r="K308" s="2">
        <v>0</v>
      </c>
      <c r="L308" s="2" t="s">
        <v>496</v>
      </c>
    </row>
    <row r="309" spans="1:12" x14ac:dyDescent="0.25">
      <c r="A309" s="2" t="s">
        <v>445</v>
      </c>
      <c r="B309" s="2" t="s">
        <v>752</v>
      </c>
      <c r="C309" s="2" t="s">
        <v>13</v>
      </c>
      <c r="D309" s="2" t="s">
        <v>38</v>
      </c>
      <c r="E309" s="2" t="s">
        <v>26</v>
      </c>
      <c r="F309" s="2" t="s">
        <v>549</v>
      </c>
      <c r="G309" s="2">
        <v>8000</v>
      </c>
      <c r="H309" s="2">
        <v>1</v>
      </c>
      <c r="I309" s="2">
        <v>0</v>
      </c>
      <c r="J309" s="2" t="s">
        <v>495</v>
      </c>
      <c r="K309" s="2">
        <v>0</v>
      </c>
      <c r="L309" s="2" t="s">
        <v>33</v>
      </c>
    </row>
    <row r="310" spans="1:12" x14ac:dyDescent="0.25">
      <c r="A310" s="2" t="s">
        <v>293</v>
      </c>
      <c r="B310" s="2" t="s">
        <v>854</v>
      </c>
      <c r="C310" s="2" t="s">
        <v>65</v>
      </c>
      <c r="D310" s="2" t="s">
        <v>32</v>
      </c>
      <c r="E310" s="2" t="s">
        <v>26</v>
      </c>
      <c r="F310" s="2" t="s">
        <v>549</v>
      </c>
      <c r="G310" s="2">
        <v>8000</v>
      </c>
      <c r="H310" s="2">
        <v>3</v>
      </c>
      <c r="I310" s="2">
        <v>0</v>
      </c>
      <c r="J310" s="2" t="s">
        <v>515</v>
      </c>
      <c r="K310" s="2">
        <v>419.62</v>
      </c>
      <c r="L310" s="2" t="s">
        <v>33</v>
      </c>
    </row>
    <row r="311" spans="1:12" x14ac:dyDescent="0.25">
      <c r="A311" s="2" t="s">
        <v>277</v>
      </c>
      <c r="B311" s="2" t="s">
        <v>855</v>
      </c>
      <c r="C311" s="2" t="s">
        <v>13</v>
      </c>
      <c r="D311" s="2" t="s">
        <v>506</v>
      </c>
      <c r="E311" s="2" t="s">
        <v>525</v>
      </c>
      <c r="F311" s="2" t="s">
        <v>549</v>
      </c>
      <c r="G311" s="2">
        <v>8000</v>
      </c>
      <c r="H311" s="2">
        <v>2</v>
      </c>
      <c r="I311" s="2">
        <v>0</v>
      </c>
      <c r="J311" s="2" t="s">
        <v>550</v>
      </c>
      <c r="K311" s="2">
        <v>0</v>
      </c>
      <c r="L311" s="2" t="s">
        <v>17</v>
      </c>
    </row>
    <row r="312" spans="1:12" x14ac:dyDescent="0.25">
      <c r="A312" s="2" t="s">
        <v>220</v>
      </c>
      <c r="B312" s="2" t="s">
        <v>856</v>
      </c>
      <c r="C312" s="2" t="s">
        <v>31</v>
      </c>
      <c r="D312" s="2" t="s">
        <v>20</v>
      </c>
      <c r="E312" s="2" t="s">
        <v>15</v>
      </c>
      <c r="F312" s="2" t="s">
        <v>41</v>
      </c>
      <c r="G312" s="2">
        <v>15000</v>
      </c>
      <c r="H312" s="2">
        <v>3</v>
      </c>
      <c r="I312" s="2">
        <v>0.2</v>
      </c>
      <c r="J312" s="2" t="s">
        <v>585</v>
      </c>
      <c r="K312" s="2">
        <v>211.9</v>
      </c>
      <c r="L312" s="2" t="s">
        <v>500</v>
      </c>
    </row>
    <row r="313" spans="1:12" x14ac:dyDescent="0.25">
      <c r="A313" s="2" t="s">
        <v>130</v>
      </c>
      <c r="B313" s="2" t="s">
        <v>857</v>
      </c>
      <c r="C313" s="2" t="s">
        <v>13</v>
      </c>
      <c r="D313" s="2" t="s">
        <v>28</v>
      </c>
      <c r="E313" s="2" t="s">
        <v>21</v>
      </c>
      <c r="F313" s="2" t="s">
        <v>41</v>
      </c>
      <c r="G313" s="2">
        <v>15000</v>
      </c>
      <c r="H313" s="2">
        <v>2</v>
      </c>
      <c r="I313" s="2">
        <v>0.05</v>
      </c>
      <c r="J313" s="2" t="s">
        <v>706</v>
      </c>
      <c r="K313" s="2">
        <v>0</v>
      </c>
      <c r="L313" s="2" t="s">
        <v>17</v>
      </c>
    </row>
    <row r="314" spans="1:12" x14ac:dyDescent="0.25">
      <c r="A314" s="2" t="s">
        <v>113</v>
      </c>
      <c r="B314" s="2" t="s">
        <v>772</v>
      </c>
      <c r="C314" s="2" t="s">
        <v>19</v>
      </c>
      <c r="D314" s="2" t="s">
        <v>506</v>
      </c>
      <c r="E314" s="2" t="s">
        <v>522</v>
      </c>
      <c r="F314" s="2" t="s">
        <v>41</v>
      </c>
      <c r="G314" s="2">
        <v>15000</v>
      </c>
      <c r="H314" s="2">
        <v>1</v>
      </c>
      <c r="I314" s="2">
        <v>0</v>
      </c>
      <c r="J314" s="2" t="s">
        <v>526</v>
      </c>
      <c r="K314" s="2">
        <v>0</v>
      </c>
      <c r="L314" s="2" t="s">
        <v>496</v>
      </c>
    </row>
    <row r="315" spans="1:12" x14ac:dyDescent="0.25">
      <c r="A315" s="2" t="s">
        <v>308</v>
      </c>
      <c r="B315" s="2" t="s">
        <v>858</v>
      </c>
      <c r="C315" s="2" t="s">
        <v>13</v>
      </c>
      <c r="D315" s="2" t="s">
        <v>35</v>
      </c>
      <c r="E315" s="2" t="s">
        <v>15</v>
      </c>
      <c r="F315" s="2" t="s">
        <v>41</v>
      </c>
      <c r="G315" s="2">
        <v>15000</v>
      </c>
      <c r="H315" s="2">
        <v>1</v>
      </c>
      <c r="I315" s="2">
        <v>0.1</v>
      </c>
      <c r="J315" s="2" t="s">
        <v>541</v>
      </c>
      <c r="K315" s="2">
        <v>423.54</v>
      </c>
      <c r="L315" s="2" t="s">
        <v>33</v>
      </c>
    </row>
    <row r="316" spans="1:12" x14ac:dyDescent="0.25">
      <c r="A316" s="2" t="s">
        <v>242</v>
      </c>
      <c r="B316" s="2" t="s">
        <v>859</v>
      </c>
      <c r="C316" s="2" t="s">
        <v>511</v>
      </c>
      <c r="D316" s="2" t="s">
        <v>32</v>
      </c>
      <c r="E316" s="2" t="s">
        <v>49</v>
      </c>
      <c r="F316" s="2" t="s">
        <v>549</v>
      </c>
      <c r="G316" s="2">
        <v>8000</v>
      </c>
      <c r="H316" s="2">
        <v>2</v>
      </c>
      <c r="I316" s="2">
        <v>0</v>
      </c>
      <c r="J316" s="2" t="s">
        <v>550</v>
      </c>
      <c r="K316" s="2">
        <v>1364.12</v>
      </c>
      <c r="L316" s="2" t="s">
        <v>33</v>
      </c>
    </row>
    <row r="317" spans="1:12" x14ac:dyDescent="0.25">
      <c r="A317" s="2" t="s">
        <v>79</v>
      </c>
      <c r="B317" s="2" t="s">
        <v>860</v>
      </c>
      <c r="C317" s="2" t="s">
        <v>511</v>
      </c>
      <c r="D317" s="2" t="s">
        <v>28</v>
      </c>
      <c r="E317" s="2" t="s">
        <v>525</v>
      </c>
      <c r="F317" s="2" t="s">
        <v>494</v>
      </c>
      <c r="G317" s="2">
        <v>5000</v>
      </c>
      <c r="H317" s="2">
        <v>1</v>
      </c>
      <c r="I317" s="2">
        <v>0</v>
      </c>
      <c r="J317" s="2" t="s">
        <v>529</v>
      </c>
      <c r="K317" s="2">
        <v>0</v>
      </c>
      <c r="L317" s="2" t="s">
        <v>33</v>
      </c>
    </row>
    <row r="318" spans="1:12" x14ac:dyDescent="0.25">
      <c r="A318" s="2" t="s">
        <v>417</v>
      </c>
      <c r="B318" s="2" t="s">
        <v>861</v>
      </c>
      <c r="C318" s="2" t="s">
        <v>511</v>
      </c>
      <c r="D318" s="2" t="s">
        <v>534</v>
      </c>
      <c r="E318" s="2" t="s">
        <v>15</v>
      </c>
      <c r="F318" s="2" t="s">
        <v>494</v>
      </c>
      <c r="G318" s="2">
        <v>5000</v>
      </c>
      <c r="H318" s="2">
        <v>1</v>
      </c>
      <c r="I318" s="2">
        <v>0.2</v>
      </c>
      <c r="J318" s="2" t="s">
        <v>805</v>
      </c>
      <c r="K318" s="2">
        <v>2871.93</v>
      </c>
      <c r="L318" s="2" t="s">
        <v>496</v>
      </c>
    </row>
    <row r="319" spans="1:12" x14ac:dyDescent="0.25">
      <c r="A319" s="2" t="s">
        <v>76</v>
      </c>
      <c r="B319" s="2" t="s">
        <v>666</v>
      </c>
      <c r="C319" s="2" t="s">
        <v>13</v>
      </c>
      <c r="D319" s="2" t="s">
        <v>20</v>
      </c>
      <c r="E319" s="2" t="s">
        <v>522</v>
      </c>
      <c r="F319" s="2" t="s">
        <v>549</v>
      </c>
      <c r="G319" s="2">
        <v>8000</v>
      </c>
      <c r="H319" s="2">
        <v>2</v>
      </c>
      <c r="I319" s="2">
        <v>0</v>
      </c>
      <c r="J319" s="2" t="s">
        <v>550</v>
      </c>
      <c r="K319" s="2">
        <v>2239.44</v>
      </c>
      <c r="L319" s="2" t="s">
        <v>500</v>
      </c>
    </row>
    <row r="320" spans="1:12" x14ac:dyDescent="0.25">
      <c r="A320" s="2" t="s">
        <v>147</v>
      </c>
      <c r="B320" s="2" t="s">
        <v>717</v>
      </c>
      <c r="C320" s="2" t="s">
        <v>13</v>
      </c>
      <c r="D320" s="2" t="s">
        <v>534</v>
      </c>
      <c r="E320" s="2" t="s">
        <v>15</v>
      </c>
      <c r="F320" s="2" t="s">
        <v>41</v>
      </c>
      <c r="G320" s="2">
        <v>15000</v>
      </c>
      <c r="H320" s="2">
        <v>1</v>
      </c>
      <c r="I320" s="2">
        <v>0</v>
      </c>
      <c r="J320" s="2" t="s">
        <v>526</v>
      </c>
      <c r="K320" s="2">
        <v>2623.64</v>
      </c>
      <c r="L320" s="2" t="s">
        <v>500</v>
      </c>
    </row>
    <row r="321" spans="1:12" x14ac:dyDescent="0.25">
      <c r="A321" s="2" t="s">
        <v>192</v>
      </c>
      <c r="B321" s="2" t="s">
        <v>862</v>
      </c>
      <c r="C321" s="2" t="s">
        <v>65</v>
      </c>
      <c r="D321" s="2" t="s">
        <v>534</v>
      </c>
      <c r="E321" s="2" t="s">
        <v>26</v>
      </c>
      <c r="F321" s="2" t="s">
        <v>43</v>
      </c>
      <c r="G321" s="2">
        <v>65000</v>
      </c>
      <c r="H321" s="2">
        <v>2</v>
      </c>
      <c r="I321" s="2">
        <v>0.1</v>
      </c>
      <c r="J321" s="2" t="s">
        <v>507</v>
      </c>
      <c r="K321" s="2">
        <v>1536.36</v>
      </c>
      <c r="L321" s="2" t="s">
        <v>33</v>
      </c>
    </row>
    <row r="322" spans="1:12" x14ac:dyDescent="0.25">
      <c r="A322" s="2" t="s">
        <v>132</v>
      </c>
      <c r="B322" s="2" t="s">
        <v>863</v>
      </c>
      <c r="C322" s="2" t="s">
        <v>81</v>
      </c>
      <c r="D322" s="2" t="s">
        <v>506</v>
      </c>
      <c r="E322" s="2" t="s">
        <v>15</v>
      </c>
      <c r="F322" s="2" t="s">
        <v>494</v>
      </c>
      <c r="G322" s="2">
        <v>5000</v>
      </c>
      <c r="H322" s="2">
        <v>2</v>
      </c>
      <c r="I322" s="2">
        <v>0</v>
      </c>
      <c r="J322" s="2" t="s">
        <v>519</v>
      </c>
      <c r="K322" s="2">
        <v>0</v>
      </c>
      <c r="L322" s="2" t="s">
        <v>33</v>
      </c>
    </row>
    <row r="323" spans="1:12" x14ac:dyDescent="0.25">
      <c r="A323" s="2" t="s">
        <v>373</v>
      </c>
      <c r="B323" s="2" t="s">
        <v>864</v>
      </c>
      <c r="C323" s="2" t="s">
        <v>511</v>
      </c>
      <c r="D323" s="2" t="s">
        <v>534</v>
      </c>
      <c r="E323" s="2" t="s">
        <v>39</v>
      </c>
      <c r="F323" s="2" t="s">
        <v>494</v>
      </c>
      <c r="G323" s="2">
        <v>5000</v>
      </c>
      <c r="H323" s="2">
        <v>1</v>
      </c>
      <c r="I323" s="2">
        <v>0.05</v>
      </c>
      <c r="J323" s="2" t="s">
        <v>771</v>
      </c>
      <c r="K323" s="2">
        <v>2358.2800000000002</v>
      </c>
      <c r="L323" s="2" t="s">
        <v>496</v>
      </c>
    </row>
    <row r="324" spans="1:12" x14ac:dyDescent="0.25">
      <c r="A324" s="2" t="s">
        <v>205</v>
      </c>
      <c r="B324" s="2" t="s">
        <v>865</v>
      </c>
      <c r="C324" s="2" t="s">
        <v>24</v>
      </c>
      <c r="D324" s="2" t="s">
        <v>506</v>
      </c>
      <c r="E324" s="2" t="s">
        <v>49</v>
      </c>
      <c r="F324" s="2" t="s">
        <v>494</v>
      </c>
      <c r="G324" s="2">
        <v>5000</v>
      </c>
      <c r="H324" s="2">
        <v>3</v>
      </c>
      <c r="I324" s="2">
        <v>0</v>
      </c>
      <c r="J324" s="2" t="s">
        <v>526</v>
      </c>
      <c r="K324" s="2">
        <v>0</v>
      </c>
      <c r="L324" s="2" t="s">
        <v>500</v>
      </c>
    </row>
    <row r="325" spans="1:12" x14ac:dyDescent="0.25">
      <c r="A325" s="2" t="s">
        <v>286</v>
      </c>
      <c r="B325" s="2" t="s">
        <v>866</v>
      </c>
      <c r="C325" s="2" t="s">
        <v>81</v>
      </c>
      <c r="D325" s="2" t="s">
        <v>38</v>
      </c>
      <c r="E325" s="2" t="s">
        <v>525</v>
      </c>
      <c r="F325" s="2" t="s">
        <v>43</v>
      </c>
      <c r="G325" s="2">
        <v>65000</v>
      </c>
      <c r="H325" s="2">
        <v>1</v>
      </c>
      <c r="I325" s="2">
        <v>0.05</v>
      </c>
      <c r="J325" s="2" t="s">
        <v>652</v>
      </c>
      <c r="K325" s="2">
        <v>0</v>
      </c>
      <c r="L325" s="2" t="s">
        <v>33</v>
      </c>
    </row>
    <row r="326" spans="1:12" x14ac:dyDescent="0.25">
      <c r="A326" s="2" t="s">
        <v>134</v>
      </c>
      <c r="B326" s="2" t="s">
        <v>867</v>
      </c>
      <c r="C326" s="2" t="s">
        <v>13</v>
      </c>
      <c r="D326" s="2" t="s">
        <v>578</v>
      </c>
      <c r="E326" s="2" t="s">
        <v>26</v>
      </c>
      <c r="F326" s="2" t="s">
        <v>43</v>
      </c>
      <c r="G326" s="2">
        <v>65000</v>
      </c>
      <c r="H326" s="2">
        <v>2</v>
      </c>
      <c r="I326" s="2">
        <v>0</v>
      </c>
      <c r="J326" s="2" t="s">
        <v>560</v>
      </c>
      <c r="K326" s="2">
        <v>1226.82</v>
      </c>
      <c r="L326" s="2" t="s">
        <v>496</v>
      </c>
    </row>
    <row r="327" spans="1:12" x14ac:dyDescent="0.25">
      <c r="A327" s="2" t="s">
        <v>225</v>
      </c>
      <c r="B327" s="2" t="s">
        <v>868</v>
      </c>
      <c r="C327" s="2" t="s">
        <v>13</v>
      </c>
      <c r="D327" s="2" t="s">
        <v>32</v>
      </c>
      <c r="E327" s="2" t="s">
        <v>36</v>
      </c>
      <c r="F327" s="2" t="s">
        <v>549</v>
      </c>
      <c r="G327" s="2">
        <v>8000</v>
      </c>
      <c r="H327" s="2">
        <v>2</v>
      </c>
      <c r="I327" s="2">
        <v>0.1</v>
      </c>
      <c r="J327" s="2" t="s">
        <v>636</v>
      </c>
      <c r="K327" s="2">
        <v>1519.14</v>
      </c>
      <c r="L327" s="2" t="s">
        <v>33</v>
      </c>
    </row>
    <row r="328" spans="1:12" x14ac:dyDescent="0.25">
      <c r="A328" s="2" t="s">
        <v>117</v>
      </c>
      <c r="B328" s="2" t="s">
        <v>869</v>
      </c>
      <c r="C328" s="2" t="s">
        <v>19</v>
      </c>
      <c r="D328" s="2" t="s">
        <v>506</v>
      </c>
      <c r="E328" s="2" t="s">
        <v>525</v>
      </c>
      <c r="F328" s="2" t="s">
        <v>41</v>
      </c>
      <c r="G328" s="2">
        <v>15000</v>
      </c>
      <c r="H328" s="2">
        <v>1</v>
      </c>
      <c r="I328" s="2">
        <v>0</v>
      </c>
      <c r="J328" s="2" t="s">
        <v>526</v>
      </c>
      <c r="K328" s="2">
        <v>0</v>
      </c>
      <c r="L328" s="2" t="s">
        <v>33</v>
      </c>
    </row>
    <row r="329" spans="1:12" x14ac:dyDescent="0.25">
      <c r="A329" s="2" t="s">
        <v>454</v>
      </c>
      <c r="B329" s="2" t="s">
        <v>870</v>
      </c>
      <c r="C329" s="2" t="s">
        <v>13</v>
      </c>
      <c r="D329" s="2" t="s">
        <v>32</v>
      </c>
      <c r="E329" s="2" t="s">
        <v>15</v>
      </c>
      <c r="F329" s="2" t="s">
        <v>41</v>
      </c>
      <c r="G329" s="2">
        <v>15000</v>
      </c>
      <c r="H329" s="2">
        <v>1</v>
      </c>
      <c r="I329" s="2">
        <v>0.05</v>
      </c>
      <c r="J329" s="2" t="s">
        <v>581</v>
      </c>
      <c r="K329" s="2">
        <v>223.36</v>
      </c>
      <c r="L329" s="2" t="s">
        <v>496</v>
      </c>
    </row>
    <row r="330" spans="1:12" x14ac:dyDescent="0.25">
      <c r="A330" s="2" t="s">
        <v>346</v>
      </c>
      <c r="B330" s="2" t="s">
        <v>871</v>
      </c>
      <c r="C330" s="2" t="s">
        <v>19</v>
      </c>
      <c r="D330" s="2" t="s">
        <v>578</v>
      </c>
      <c r="E330" s="2" t="s">
        <v>36</v>
      </c>
      <c r="F330" s="2" t="s">
        <v>43</v>
      </c>
      <c r="G330" s="2">
        <v>65000</v>
      </c>
      <c r="H330" s="2">
        <v>2</v>
      </c>
      <c r="I330" s="2">
        <v>0.15</v>
      </c>
      <c r="J330" s="2" t="s">
        <v>579</v>
      </c>
      <c r="K330" s="2">
        <v>2972.27</v>
      </c>
      <c r="L330" s="2" t="s">
        <v>33</v>
      </c>
    </row>
    <row r="331" spans="1:12" x14ac:dyDescent="0.25">
      <c r="A331" s="2" t="s">
        <v>343</v>
      </c>
      <c r="B331" s="2" t="s">
        <v>872</v>
      </c>
      <c r="C331" s="2" t="s">
        <v>511</v>
      </c>
      <c r="D331" s="2" t="s">
        <v>38</v>
      </c>
      <c r="E331" s="2" t="s">
        <v>15</v>
      </c>
      <c r="F331" s="2" t="s">
        <v>43</v>
      </c>
      <c r="G331" s="2">
        <v>65000</v>
      </c>
      <c r="H331" s="2">
        <v>1</v>
      </c>
      <c r="I331" s="2">
        <v>0.05</v>
      </c>
      <c r="J331" s="2" t="s">
        <v>652</v>
      </c>
      <c r="K331" s="2">
        <v>0</v>
      </c>
      <c r="L331" s="2" t="s">
        <v>496</v>
      </c>
    </row>
    <row r="332" spans="1:12" x14ac:dyDescent="0.25">
      <c r="A332" s="2" t="s">
        <v>250</v>
      </c>
      <c r="B332" s="2" t="s">
        <v>873</v>
      </c>
      <c r="C332" s="2" t="s">
        <v>511</v>
      </c>
      <c r="D332" s="2" t="s">
        <v>38</v>
      </c>
      <c r="E332" s="2" t="s">
        <v>49</v>
      </c>
      <c r="F332" s="2" t="s">
        <v>41</v>
      </c>
      <c r="G332" s="2">
        <v>15000</v>
      </c>
      <c r="H332" s="2">
        <v>1</v>
      </c>
      <c r="I332" s="2">
        <v>0</v>
      </c>
      <c r="J332" s="2" t="s">
        <v>526</v>
      </c>
      <c r="K332" s="2">
        <v>0</v>
      </c>
      <c r="L332" s="2" t="s">
        <v>33</v>
      </c>
    </row>
    <row r="333" spans="1:12" x14ac:dyDescent="0.25">
      <c r="A333" s="2" t="s">
        <v>68</v>
      </c>
      <c r="B333" s="2" t="s">
        <v>874</v>
      </c>
      <c r="C333" s="2" t="s">
        <v>24</v>
      </c>
      <c r="D333" s="2" t="s">
        <v>32</v>
      </c>
      <c r="E333" s="2"/>
      <c r="F333" s="2" t="s">
        <v>41</v>
      </c>
      <c r="G333" s="2">
        <v>15000</v>
      </c>
      <c r="H333" s="2">
        <v>1</v>
      </c>
      <c r="I333" s="2">
        <v>0.1</v>
      </c>
      <c r="J333" s="2" t="s">
        <v>541</v>
      </c>
      <c r="K333" s="2">
        <v>482.03</v>
      </c>
      <c r="L333" s="2" t="s">
        <v>33</v>
      </c>
    </row>
    <row r="334" spans="1:12" x14ac:dyDescent="0.25">
      <c r="A334" s="2" t="s">
        <v>289</v>
      </c>
      <c r="B334" s="2" t="s">
        <v>875</v>
      </c>
      <c r="C334" s="2" t="s">
        <v>13</v>
      </c>
      <c r="D334" s="2" t="s">
        <v>534</v>
      </c>
      <c r="E334" s="2" t="s">
        <v>21</v>
      </c>
      <c r="F334" s="2" t="s">
        <v>41</v>
      </c>
      <c r="G334" s="2">
        <v>15000</v>
      </c>
      <c r="H334" s="2">
        <v>1</v>
      </c>
      <c r="I334" s="2">
        <v>0</v>
      </c>
      <c r="J334" s="2" t="s">
        <v>526</v>
      </c>
      <c r="K334" s="2">
        <v>2801.4</v>
      </c>
      <c r="L334" s="2" t="s">
        <v>500</v>
      </c>
    </row>
    <row r="335" spans="1:12" x14ac:dyDescent="0.25">
      <c r="A335" s="2" t="s">
        <v>62</v>
      </c>
      <c r="B335" s="2" t="s">
        <v>876</v>
      </c>
      <c r="C335" s="2"/>
      <c r="D335" s="2" t="s">
        <v>20</v>
      </c>
      <c r="E335" s="2" t="s">
        <v>15</v>
      </c>
      <c r="F335" s="2" t="s">
        <v>494</v>
      </c>
      <c r="G335" s="2">
        <v>5000</v>
      </c>
      <c r="H335" s="2">
        <v>1</v>
      </c>
      <c r="I335" s="2">
        <v>0.05</v>
      </c>
      <c r="J335" s="2" t="s">
        <v>771</v>
      </c>
      <c r="K335" s="2">
        <v>2021.9</v>
      </c>
      <c r="L335" s="2" t="s">
        <v>17</v>
      </c>
    </row>
    <row r="336" spans="1:12" x14ac:dyDescent="0.25">
      <c r="A336" s="2" t="s">
        <v>241</v>
      </c>
      <c r="B336" s="2" t="s">
        <v>667</v>
      </c>
      <c r="C336" s="2" t="s">
        <v>24</v>
      </c>
      <c r="D336" s="2" t="s">
        <v>32</v>
      </c>
      <c r="E336" s="2" t="s">
        <v>525</v>
      </c>
      <c r="F336" s="2" t="s">
        <v>549</v>
      </c>
      <c r="G336" s="2">
        <v>8000</v>
      </c>
      <c r="H336" s="2">
        <v>2</v>
      </c>
      <c r="I336" s="2">
        <v>0</v>
      </c>
      <c r="J336" s="2" t="s">
        <v>550</v>
      </c>
      <c r="K336" s="2">
        <v>1580.54</v>
      </c>
      <c r="L336" s="2" t="s">
        <v>500</v>
      </c>
    </row>
    <row r="337" spans="1:12" x14ac:dyDescent="0.25">
      <c r="A337" s="2" t="s">
        <v>207</v>
      </c>
      <c r="B337" s="2" t="s">
        <v>877</v>
      </c>
      <c r="C337" s="2" t="s">
        <v>13</v>
      </c>
      <c r="D337" s="2" t="s">
        <v>578</v>
      </c>
      <c r="E337" s="2" t="s">
        <v>21</v>
      </c>
      <c r="F337" s="2" t="s">
        <v>41</v>
      </c>
      <c r="G337" s="2">
        <v>15000</v>
      </c>
      <c r="H337" s="2">
        <v>2</v>
      </c>
      <c r="I337" s="2">
        <v>0.15</v>
      </c>
      <c r="J337" s="2"/>
      <c r="K337" s="2">
        <v>1446.86</v>
      </c>
      <c r="L337" s="2" t="s">
        <v>33</v>
      </c>
    </row>
    <row r="338" spans="1:12" x14ac:dyDescent="0.25">
      <c r="A338" s="2" t="s">
        <v>433</v>
      </c>
      <c r="B338" s="2" t="s">
        <v>878</v>
      </c>
      <c r="C338" s="2" t="s">
        <v>511</v>
      </c>
      <c r="D338" s="2" t="s">
        <v>514</v>
      </c>
      <c r="E338" s="2" t="s">
        <v>15</v>
      </c>
      <c r="F338" s="2" t="s">
        <v>494</v>
      </c>
      <c r="G338" s="2">
        <v>5000</v>
      </c>
      <c r="H338" s="2">
        <v>1</v>
      </c>
      <c r="I338" s="2">
        <v>0.15</v>
      </c>
      <c r="J338" s="2" t="s">
        <v>509</v>
      </c>
      <c r="K338" s="2">
        <v>2956.9</v>
      </c>
      <c r="L338" s="2" t="s">
        <v>17</v>
      </c>
    </row>
    <row r="339" spans="1:12" x14ac:dyDescent="0.25">
      <c r="A339" s="2" t="s">
        <v>446</v>
      </c>
      <c r="B339" s="2" t="s">
        <v>741</v>
      </c>
      <c r="C339" s="2" t="s">
        <v>13</v>
      </c>
      <c r="D339" s="2" t="s">
        <v>32</v>
      </c>
      <c r="E339" s="2" t="s">
        <v>15</v>
      </c>
      <c r="F339" s="2" t="s">
        <v>41</v>
      </c>
      <c r="G339" s="2">
        <v>15000</v>
      </c>
      <c r="H339" s="2">
        <v>2</v>
      </c>
      <c r="I339" s="2">
        <v>0</v>
      </c>
      <c r="J339" s="2" t="s">
        <v>499</v>
      </c>
      <c r="K339" s="2">
        <v>3243.48</v>
      </c>
      <c r="L339" s="2" t="s">
        <v>33</v>
      </c>
    </row>
    <row r="340" spans="1:12" x14ac:dyDescent="0.25">
      <c r="A340" s="2" t="s">
        <v>393</v>
      </c>
      <c r="B340" s="2" t="s">
        <v>879</v>
      </c>
      <c r="C340" s="2" t="s">
        <v>13</v>
      </c>
      <c r="D340" s="2" t="s">
        <v>20</v>
      </c>
      <c r="E340" s="2" t="s">
        <v>15</v>
      </c>
      <c r="F340" s="2" t="s">
        <v>43</v>
      </c>
      <c r="G340" s="2">
        <v>65000</v>
      </c>
      <c r="H340" s="2">
        <v>2</v>
      </c>
      <c r="I340" s="2">
        <v>0</v>
      </c>
      <c r="J340" s="2" t="s">
        <v>560</v>
      </c>
      <c r="K340" s="2">
        <v>711.74</v>
      </c>
      <c r="L340" s="2" t="s">
        <v>17</v>
      </c>
    </row>
    <row r="341" spans="1:12" x14ac:dyDescent="0.25">
      <c r="A341" s="2" t="s">
        <v>384</v>
      </c>
      <c r="B341" s="2" t="s">
        <v>880</v>
      </c>
      <c r="C341" s="2" t="s">
        <v>19</v>
      </c>
      <c r="D341" s="2" t="s">
        <v>534</v>
      </c>
      <c r="E341" s="2" t="s">
        <v>39</v>
      </c>
      <c r="F341" s="2" t="s">
        <v>41</v>
      </c>
      <c r="G341" s="2">
        <v>15000</v>
      </c>
      <c r="H341" s="2">
        <v>2</v>
      </c>
      <c r="I341" s="2">
        <v>0.05</v>
      </c>
      <c r="J341" s="2" t="s">
        <v>706</v>
      </c>
      <c r="K341" s="2">
        <v>2425.41</v>
      </c>
      <c r="L341" s="2" t="s">
        <v>33</v>
      </c>
    </row>
    <row r="342" spans="1:12" x14ac:dyDescent="0.25">
      <c r="A342" s="2" t="s">
        <v>212</v>
      </c>
      <c r="B342" s="2" t="s">
        <v>881</v>
      </c>
      <c r="C342" s="2" t="s">
        <v>511</v>
      </c>
      <c r="D342" s="2" t="s">
        <v>506</v>
      </c>
      <c r="E342" s="2" t="s">
        <v>525</v>
      </c>
      <c r="F342" s="2" t="s">
        <v>494</v>
      </c>
      <c r="G342" s="2">
        <v>5000</v>
      </c>
      <c r="H342" s="2">
        <v>2</v>
      </c>
      <c r="I342" s="2">
        <v>0.2</v>
      </c>
      <c r="J342" s="2" t="s">
        <v>495</v>
      </c>
      <c r="K342" s="2">
        <v>0</v>
      </c>
      <c r="L342" s="2" t="s">
        <v>17</v>
      </c>
    </row>
    <row r="343" spans="1:12" x14ac:dyDescent="0.25">
      <c r="A343" s="2" t="s">
        <v>149</v>
      </c>
      <c r="B343" s="2" t="s">
        <v>882</v>
      </c>
      <c r="C343" s="2" t="s">
        <v>81</v>
      </c>
      <c r="D343" s="2" t="s">
        <v>35</v>
      </c>
      <c r="E343" s="2" t="s">
        <v>26</v>
      </c>
      <c r="F343" s="2" t="s">
        <v>549</v>
      </c>
      <c r="G343" s="2">
        <v>8000</v>
      </c>
      <c r="H343" s="2">
        <v>1</v>
      </c>
      <c r="I343" s="2">
        <v>0</v>
      </c>
      <c r="J343" s="2" t="s">
        <v>495</v>
      </c>
      <c r="K343" s="2">
        <v>1342.68</v>
      </c>
      <c r="L343" s="2" t="s">
        <v>33</v>
      </c>
    </row>
    <row r="344" spans="1:12" x14ac:dyDescent="0.25">
      <c r="A344" s="2" t="s">
        <v>94</v>
      </c>
      <c r="B344" s="2" t="s">
        <v>883</v>
      </c>
      <c r="C344" s="2" t="s">
        <v>13</v>
      </c>
      <c r="D344" s="2" t="s">
        <v>35</v>
      </c>
      <c r="E344" s="2" t="s">
        <v>522</v>
      </c>
      <c r="F344" s="2" t="s">
        <v>549</v>
      </c>
      <c r="G344" s="2">
        <v>8000</v>
      </c>
      <c r="H344" s="2">
        <v>2</v>
      </c>
      <c r="I344" s="2">
        <v>0.15</v>
      </c>
      <c r="J344" s="2" t="s">
        <v>629</v>
      </c>
      <c r="K344" s="2">
        <v>1694.21</v>
      </c>
      <c r="L344" s="2" t="s">
        <v>496</v>
      </c>
    </row>
    <row r="345" spans="1:12" x14ac:dyDescent="0.25">
      <c r="A345" s="2" t="s">
        <v>229</v>
      </c>
      <c r="B345" s="2" t="s">
        <v>884</v>
      </c>
      <c r="C345" s="2"/>
      <c r="D345" s="2" t="s">
        <v>514</v>
      </c>
      <c r="E345" s="2" t="s">
        <v>522</v>
      </c>
      <c r="F345" s="2" t="s">
        <v>549</v>
      </c>
      <c r="G345" s="2">
        <v>8000</v>
      </c>
      <c r="H345" s="2">
        <v>1</v>
      </c>
      <c r="I345" s="2">
        <v>0.05</v>
      </c>
      <c r="J345" s="2" t="s">
        <v>720</v>
      </c>
      <c r="K345" s="2">
        <v>1282.47</v>
      </c>
      <c r="L345" s="2" t="s">
        <v>500</v>
      </c>
    </row>
    <row r="346" spans="1:12" x14ac:dyDescent="0.25">
      <c r="A346" s="2" t="s">
        <v>122</v>
      </c>
      <c r="B346" s="2" t="s">
        <v>885</v>
      </c>
      <c r="C346" s="2" t="s">
        <v>31</v>
      </c>
      <c r="D346" s="2" t="s">
        <v>28</v>
      </c>
      <c r="E346" s="2" t="s">
        <v>522</v>
      </c>
      <c r="F346" s="2" t="s">
        <v>43</v>
      </c>
      <c r="G346" s="2">
        <v>65000</v>
      </c>
      <c r="H346" s="2">
        <v>1</v>
      </c>
      <c r="I346" s="2">
        <v>0.15</v>
      </c>
      <c r="J346" s="2" t="s">
        <v>564</v>
      </c>
      <c r="K346" s="2">
        <v>0</v>
      </c>
      <c r="L346" s="2" t="s">
        <v>496</v>
      </c>
    </row>
    <row r="347" spans="1:12" x14ac:dyDescent="0.25">
      <c r="A347" s="2" t="s">
        <v>408</v>
      </c>
      <c r="B347" s="2" t="s">
        <v>886</v>
      </c>
      <c r="C347" s="2" t="s">
        <v>511</v>
      </c>
      <c r="D347" s="2" t="s">
        <v>20</v>
      </c>
      <c r="E347" s="2" t="s">
        <v>39</v>
      </c>
      <c r="F347" s="2" t="s">
        <v>41</v>
      </c>
      <c r="G347" s="2">
        <v>15000</v>
      </c>
      <c r="H347" s="2">
        <v>1</v>
      </c>
      <c r="I347" s="2">
        <v>0.05</v>
      </c>
      <c r="J347" s="2" t="s">
        <v>581</v>
      </c>
      <c r="K347" s="2">
        <v>2564.38</v>
      </c>
      <c r="L347" s="2" t="s">
        <v>33</v>
      </c>
    </row>
    <row r="348" spans="1:12" x14ac:dyDescent="0.25">
      <c r="A348" s="2" t="s">
        <v>143</v>
      </c>
      <c r="B348" s="2" t="s">
        <v>835</v>
      </c>
      <c r="C348" s="2" t="s">
        <v>19</v>
      </c>
      <c r="D348" s="2" t="s">
        <v>506</v>
      </c>
      <c r="E348" s="2" t="s">
        <v>522</v>
      </c>
      <c r="F348" s="2" t="s">
        <v>494</v>
      </c>
      <c r="G348" s="2">
        <v>5000</v>
      </c>
      <c r="H348" s="2">
        <v>2</v>
      </c>
      <c r="I348" s="2">
        <v>0.05</v>
      </c>
      <c r="J348" s="2" t="s">
        <v>543</v>
      </c>
      <c r="K348" s="2">
        <v>0</v>
      </c>
      <c r="L348" s="2" t="s">
        <v>33</v>
      </c>
    </row>
    <row r="349" spans="1:12" x14ac:dyDescent="0.25">
      <c r="A349" s="2" t="s">
        <v>342</v>
      </c>
      <c r="B349" s="2" t="s">
        <v>887</v>
      </c>
      <c r="C349" s="2" t="s">
        <v>13</v>
      </c>
      <c r="D349" s="2" t="s">
        <v>534</v>
      </c>
      <c r="E349" s="2" t="s">
        <v>49</v>
      </c>
      <c r="F349" s="2" t="s">
        <v>22</v>
      </c>
      <c r="G349" s="2">
        <v>35000</v>
      </c>
      <c r="H349" s="2">
        <v>2</v>
      </c>
      <c r="I349" s="2">
        <v>0</v>
      </c>
      <c r="J349" s="2" t="s">
        <v>537</v>
      </c>
      <c r="K349" s="2">
        <v>1852.05</v>
      </c>
      <c r="L349" s="2" t="s">
        <v>33</v>
      </c>
    </row>
    <row r="350" spans="1:12" x14ac:dyDescent="0.25">
      <c r="A350" s="2" t="s">
        <v>123</v>
      </c>
      <c r="B350" s="2" t="s">
        <v>888</v>
      </c>
      <c r="C350" s="2" t="s">
        <v>19</v>
      </c>
      <c r="D350" s="2" t="s">
        <v>35</v>
      </c>
      <c r="E350" s="2" t="s">
        <v>525</v>
      </c>
      <c r="F350" s="2" t="s">
        <v>549</v>
      </c>
      <c r="G350" s="2">
        <v>8000</v>
      </c>
      <c r="H350" s="2">
        <v>1</v>
      </c>
      <c r="I350" s="2">
        <v>0.1</v>
      </c>
      <c r="J350" s="2" t="s">
        <v>668</v>
      </c>
      <c r="K350" s="2">
        <v>1299.02</v>
      </c>
      <c r="L350" s="2" t="s">
        <v>33</v>
      </c>
    </row>
    <row r="351" spans="1:12" x14ac:dyDescent="0.25">
      <c r="A351" s="2" t="s">
        <v>115</v>
      </c>
      <c r="B351" s="2" t="s">
        <v>889</v>
      </c>
      <c r="C351" s="2" t="s">
        <v>13</v>
      </c>
      <c r="D351" s="2" t="s">
        <v>35</v>
      </c>
      <c r="E351" s="2" t="s">
        <v>21</v>
      </c>
      <c r="F351" s="2" t="s">
        <v>43</v>
      </c>
      <c r="G351" s="2">
        <v>65000</v>
      </c>
      <c r="H351" s="2">
        <v>1</v>
      </c>
      <c r="I351" s="2">
        <v>0</v>
      </c>
      <c r="J351" s="2" t="s">
        <v>523</v>
      </c>
      <c r="K351" s="2">
        <v>921.01</v>
      </c>
      <c r="L351" s="2" t="s">
        <v>33</v>
      </c>
    </row>
    <row r="352" spans="1:12" x14ac:dyDescent="0.25">
      <c r="A352" s="2" t="s">
        <v>115</v>
      </c>
      <c r="B352" s="2" t="s">
        <v>889</v>
      </c>
      <c r="C352" s="2" t="s">
        <v>13</v>
      </c>
      <c r="D352" s="2" t="s">
        <v>35</v>
      </c>
      <c r="E352" s="2" t="s">
        <v>21</v>
      </c>
      <c r="F352" s="2" t="s">
        <v>43</v>
      </c>
      <c r="G352" s="2">
        <v>65000</v>
      </c>
      <c r="H352" s="2">
        <v>1</v>
      </c>
      <c r="I352" s="2">
        <v>0</v>
      </c>
      <c r="J352" s="2" t="s">
        <v>523</v>
      </c>
      <c r="K352" s="2">
        <v>921.01</v>
      </c>
      <c r="L352" s="2" t="s">
        <v>33</v>
      </c>
    </row>
    <row r="353" spans="1:12" x14ac:dyDescent="0.25">
      <c r="A353" s="2" t="s">
        <v>372</v>
      </c>
      <c r="B353" s="2" t="s">
        <v>890</v>
      </c>
      <c r="C353" s="2" t="s">
        <v>511</v>
      </c>
      <c r="D353" s="2" t="s">
        <v>35</v>
      </c>
      <c r="E353" s="2" t="s">
        <v>39</v>
      </c>
      <c r="F353" s="2" t="s">
        <v>41</v>
      </c>
      <c r="G353" s="2">
        <v>15000</v>
      </c>
      <c r="H353" s="2">
        <v>1</v>
      </c>
      <c r="I353" s="2">
        <v>0.2</v>
      </c>
      <c r="J353" s="2" t="s">
        <v>589</v>
      </c>
      <c r="K353" s="2">
        <v>2122.06</v>
      </c>
      <c r="L353" s="2" t="s">
        <v>17</v>
      </c>
    </row>
    <row r="354" spans="1:12" x14ac:dyDescent="0.25">
      <c r="A354" s="2" t="s">
        <v>404</v>
      </c>
      <c r="B354" s="2" t="s">
        <v>891</v>
      </c>
      <c r="C354" s="2" t="s">
        <v>13</v>
      </c>
      <c r="D354" s="2" t="s">
        <v>514</v>
      </c>
      <c r="E354" s="2" t="s">
        <v>49</v>
      </c>
      <c r="F354" s="2" t="s">
        <v>41</v>
      </c>
      <c r="G354" s="2">
        <v>15000</v>
      </c>
      <c r="H354" s="2">
        <v>3</v>
      </c>
      <c r="I354" s="2">
        <v>0.2</v>
      </c>
      <c r="J354" s="2" t="s">
        <v>585</v>
      </c>
      <c r="K354" s="2">
        <v>2207.11</v>
      </c>
      <c r="L354" s="2" t="s">
        <v>500</v>
      </c>
    </row>
    <row r="355" spans="1:12" x14ac:dyDescent="0.25">
      <c r="A355" s="2" t="s">
        <v>307</v>
      </c>
      <c r="B355" s="2" t="s">
        <v>892</v>
      </c>
      <c r="C355" s="2" t="s">
        <v>13</v>
      </c>
      <c r="D355" s="2" t="s">
        <v>32</v>
      </c>
      <c r="E355" s="2" t="s">
        <v>21</v>
      </c>
      <c r="F355" s="2" t="s">
        <v>22</v>
      </c>
      <c r="G355" s="2">
        <v>35000</v>
      </c>
      <c r="H355" s="2">
        <v>1</v>
      </c>
      <c r="I355" s="2">
        <v>0</v>
      </c>
      <c r="J355" s="2" t="s">
        <v>616</v>
      </c>
      <c r="K355" s="2">
        <v>1972.79</v>
      </c>
      <c r="L355" s="2" t="s">
        <v>17</v>
      </c>
    </row>
    <row r="356" spans="1:12" x14ac:dyDescent="0.25">
      <c r="A356" s="2" t="s">
        <v>194</v>
      </c>
      <c r="B356" s="2" t="s">
        <v>893</v>
      </c>
      <c r="C356" s="2" t="s">
        <v>521</v>
      </c>
      <c r="D356" s="2" t="s">
        <v>38</v>
      </c>
      <c r="E356" s="2" t="s">
        <v>49</v>
      </c>
      <c r="F356" s="2" t="s">
        <v>43</v>
      </c>
      <c r="G356" s="2">
        <v>65000</v>
      </c>
      <c r="H356" s="2">
        <v>2</v>
      </c>
      <c r="I356" s="2">
        <v>0</v>
      </c>
      <c r="J356" s="2" t="s">
        <v>560</v>
      </c>
      <c r="K356" s="2">
        <v>0</v>
      </c>
      <c r="L356" s="2" t="s">
        <v>33</v>
      </c>
    </row>
    <row r="357" spans="1:12" x14ac:dyDescent="0.25">
      <c r="A357" s="2" t="s">
        <v>194</v>
      </c>
      <c r="B357" s="2" t="s">
        <v>893</v>
      </c>
      <c r="C357" s="2" t="s">
        <v>521</v>
      </c>
      <c r="D357" s="2" t="s">
        <v>38</v>
      </c>
      <c r="E357" s="2" t="s">
        <v>49</v>
      </c>
      <c r="F357" s="2" t="s">
        <v>43</v>
      </c>
      <c r="G357" s="2">
        <v>65000</v>
      </c>
      <c r="H357" s="2">
        <v>2</v>
      </c>
      <c r="I357" s="2">
        <v>0</v>
      </c>
      <c r="J357" s="2" t="s">
        <v>560</v>
      </c>
      <c r="K357" s="2">
        <v>0</v>
      </c>
      <c r="L357" s="2" t="s">
        <v>33</v>
      </c>
    </row>
    <row r="358" spans="1:12" x14ac:dyDescent="0.25">
      <c r="A358" s="2" t="s">
        <v>425</v>
      </c>
      <c r="B358" s="2" t="s">
        <v>894</v>
      </c>
      <c r="C358" s="2" t="s">
        <v>65</v>
      </c>
      <c r="D358" s="2" t="s">
        <v>20</v>
      </c>
      <c r="E358" s="2" t="s">
        <v>49</v>
      </c>
      <c r="F358" s="2" t="s">
        <v>41</v>
      </c>
      <c r="G358" s="2">
        <v>15000</v>
      </c>
      <c r="H358" s="2">
        <v>1</v>
      </c>
      <c r="I358" s="2">
        <v>0.2</v>
      </c>
      <c r="J358" s="2" t="s">
        <v>589</v>
      </c>
      <c r="K358" s="2">
        <v>3313.32</v>
      </c>
      <c r="L358" s="2" t="s">
        <v>33</v>
      </c>
    </row>
    <row r="359" spans="1:12" x14ac:dyDescent="0.25">
      <c r="A359" s="2" t="s">
        <v>359</v>
      </c>
      <c r="B359" s="2" t="s">
        <v>895</v>
      </c>
      <c r="C359" s="2" t="s">
        <v>13</v>
      </c>
      <c r="D359" s="2" t="s">
        <v>35</v>
      </c>
      <c r="E359" s="2" t="s">
        <v>15</v>
      </c>
      <c r="F359" s="2" t="s">
        <v>549</v>
      </c>
      <c r="G359" s="2">
        <v>8000</v>
      </c>
      <c r="H359" s="2">
        <v>1</v>
      </c>
      <c r="I359" s="2">
        <v>0.1</v>
      </c>
      <c r="J359" s="2" t="s">
        <v>668</v>
      </c>
      <c r="K359" s="2">
        <v>1994.5</v>
      </c>
      <c r="L359" s="2" t="s">
        <v>500</v>
      </c>
    </row>
    <row r="360" spans="1:12" x14ac:dyDescent="0.25">
      <c r="A360" s="2" t="s">
        <v>317</v>
      </c>
      <c r="B360" s="2" t="s">
        <v>896</v>
      </c>
      <c r="C360" s="2" t="s">
        <v>521</v>
      </c>
      <c r="D360" s="2" t="s">
        <v>35</v>
      </c>
      <c r="E360" s="2" t="s">
        <v>36</v>
      </c>
      <c r="F360" s="2" t="s">
        <v>43</v>
      </c>
      <c r="G360" s="2">
        <v>65000</v>
      </c>
      <c r="H360" s="2">
        <v>1</v>
      </c>
      <c r="I360" s="2">
        <v>0.05</v>
      </c>
      <c r="J360" s="2" t="s">
        <v>652</v>
      </c>
      <c r="K360" s="2">
        <v>2351.02</v>
      </c>
      <c r="L360" s="2" t="s">
        <v>496</v>
      </c>
    </row>
    <row r="361" spans="1:12" x14ac:dyDescent="0.25">
      <c r="A361" s="2" t="s">
        <v>34</v>
      </c>
      <c r="B361" s="2" t="s">
        <v>897</v>
      </c>
      <c r="C361" s="2" t="s">
        <v>13</v>
      </c>
      <c r="D361" s="2" t="s">
        <v>35</v>
      </c>
      <c r="E361" s="2" t="s">
        <v>36</v>
      </c>
      <c r="F361" s="2" t="s">
        <v>494</v>
      </c>
      <c r="G361" s="2">
        <v>5000</v>
      </c>
      <c r="H361" s="2">
        <v>3</v>
      </c>
      <c r="I361" s="2">
        <v>0</v>
      </c>
      <c r="J361" s="2" t="s">
        <v>526</v>
      </c>
      <c r="K361" s="2">
        <v>2606.4699999999998</v>
      </c>
      <c r="L361" s="2" t="s">
        <v>500</v>
      </c>
    </row>
    <row r="362" spans="1:12" x14ac:dyDescent="0.25">
      <c r="A362" s="2" t="s">
        <v>34</v>
      </c>
      <c r="B362" s="2" t="s">
        <v>897</v>
      </c>
      <c r="C362" s="2" t="s">
        <v>13</v>
      </c>
      <c r="D362" s="2" t="s">
        <v>35</v>
      </c>
      <c r="E362" s="2" t="s">
        <v>36</v>
      </c>
      <c r="F362" s="2" t="s">
        <v>494</v>
      </c>
      <c r="G362" s="2">
        <v>5000</v>
      </c>
      <c r="H362" s="2">
        <v>3</v>
      </c>
      <c r="I362" s="2">
        <v>0</v>
      </c>
      <c r="J362" s="2" t="s">
        <v>526</v>
      </c>
      <c r="K362" s="2">
        <v>2606.4699999999998</v>
      </c>
      <c r="L362" s="2" t="s">
        <v>500</v>
      </c>
    </row>
    <row r="363" spans="1:12" x14ac:dyDescent="0.25">
      <c r="A363" s="2" t="s">
        <v>274</v>
      </c>
      <c r="B363" s="2" t="s">
        <v>898</v>
      </c>
      <c r="C363" s="2" t="s">
        <v>24</v>
      </c>
      <c r="D363" s="2" t="s">
        <v>578</v>
      </c>
      <c r="E363" s="2" t="s">
        <v>39</v>
      </c>
      <c r="F363" s="2" t="s">
        <v>549</v>
      </c>
      <c r="G363" s="2">
        <v>8000</v>
      </c>
      <c r="H363" s="2">
        <v>3</v>
      </c>
      <c r="I363" s="2">
        <v>0</v>
      </c>
      <c r="J363" s="2" t="s">
        <v>515</v>
      </c>
      <c r="K363" s="2">
        <v>448.69</v>
      </c>
      <c r="L363" s="2" t="s">
        <v>496</v>
      </c>
    </row>
    <row r="364" spans="1:12" x14ac:dyDescent="0.25">
      <c r="A364" s="2" t="s">
        <v>318</v>
      </c>
      <c r="B364" s="2" t="s">
        <v>899</v>
      </c>
      <c r="C364" s="2" t="s">
        <v>31</v>
      </c>
      <c r="D364" s="2" t="s">
        <v>514</v>
      </c>
      <c r="E364" s="2" t="s">
        <v>15</v>
      </c>
      <c r="F364" s="2" t="s">
        <v>43</v>
      </c>
      <c r="G364" s="2">
        <v>65000</v>
      </c>
      <c r="H364" s="2">
        <v>1</v>
      </c>
      <c r="I364" s="2">
        <v>0</v>
      </c>
      <c r="J364" s="2" t="s">
        <v>523</v>
      </c>
      <c r="K364" s="2">
        <v>844.49</v>
      </c>
      <c r="L364" s="2" t="s">
        <v>17</v>
      </c>
    </row>
    <row r="365" spans="1:12" x14ac:dyDescent="0.25">
      <c r="A365" s="2" t="s">
        <v>390</v>
      </c>
      <c r="B365" s="2" t="s">
        <v>649</v>
      </c>
      <c r="C365" s="2" t="s">
        <v>31</v>
      </c>
      <c r="D365" s="2" t="s">
        <v>498</v>
      </c>
      <c r="E365" s="2" t="s">
        <v>15</v>
      </c>
      <c r="F365" s="2" t="s">
        <v>22</v>
      </c>
      <c r="G365" s="2">
        <v>35000</v>
      </c>
      <c r="H365" s="2">
        <v>1</v>
      </c>
      <c r="I365" s="2">
        <v>0.15</v>
      </c>
      <c r="J365" s="2" t="s">
        <v>608</v>
      </c>
      <c r="K365" s="2">
        <v>664.4</v>
      </c>
      <c r="L365" s="2" t="s">
        <v>33</v>
      </c>
    </row>
    <row r="366" spans="1:12" x14ac:dyDescent="0.25">
      <c r="A366" s="2" t="s">
        <v>169</v>
      </c>
      <c r="B366" s="2" t="s">
        <v>900</v>
      </c>
      <c r="C366" s="2" t="s">
        <v>24</v>
      </c>
      <c r="D366" s="2" t="s">
        <v>20</v>
      </c>
      <c r="E366" s="2" t="s">
        <v>522</v>
      </c>
      <c r="F366" s="2" t="s">
        <v>549</v>
      </c>
      <c r="G366" s="2">
        <v>8000</v>
      </c>
      <c r="H366" s="2">
        <v>2</v>
      </c>
      <c r="I366" s="2">
        <v>0</v>
      </c>
      <c r="J366" s="2" t="s">
        <v>550</v>
      </c>
      <c r="K366" s="2">
        <v>1939.09</v>
      </c>
      <c r="L366" s="2" t="s">
        <v>33</v>
      </c>
    </row>
    <row r="367" spans="1:12" x14ac:dyDescent="0.25">
      <c r="A367" s="2" t="s">
        <v>172</v>
      </c>
      <c r="B367" s="2" t="s">
        <v>901</v>
      </c>
      <c r="C367" s="2" t="s">
        <v>19</v>
      </c>
      <c r="D367" s="2" t="s">
        <v>534</v>
      </c>
      <c r="E367" s="2" t="s">
        <v>15</v>
      </c>
      <c r="F367" s="2" t="s">
        <v>549</v>
      </c>
      <c r="G367" s="2">
        <v>8000</v>
      </c>
      <c r="H367" s="2">
        <v>2</v>
      </c>
      <c r="I367" s="2">
        <v>0</v>
      </c>
      <c r="J367" s="2" t="s">
        <v>550</v>
      </c>
      <c r="K367" s="2">
        <v>1577.01</v>
      </c>
      <c r="L367" s="2" t="s">
        <v>33</v>
      </c>
    </row>
    <row r="368" spans="1:12" x14ac:dyDescent="0.25">
      <c r="A368" s="2" t="s">
        <v>363</v>
      </c>
      <c r="B368" s="2" t="s">
        <v>902</v>
      </c>
      <c r="C368" s="2" t="s">
        <v>31</v>
      </c>
      <c r="D368" s="2" t="s">
        <v>578</v>
      </c>
      <c r="E368" s="2" t="s">
        <v>15</v>
      </c>
      <c r="F368" s="2" t="s">
        <v>494</v>
      </c>
      <c r="G368" s="2">
        <v>5000</v>
      </c>
      <c r="H368" s="2">
        <v>1</v>
      </c>
      <c r="I368" s="2">
        <v>0.1</v>
      </c>
      <c r="J368" s="2" t="s">
        <v>567</v>
      </c>
      <c r="K368" s="2">
        <v>645.15</v>
      </c>
      <c r="L368" s="2" t="s">
        <v>17</v>
      </c>
    </row>
    <row r="369" spans="1:12" x14ac:dyDescent="0.25">
      <c r="A369" s="2" t="s">
        <v>154</v>
      </c>
      <c r="B369" s="2" t="s">
        <v>903</v>
      </c>
      <c r="C369" s="2" t="s">
        <v>13</v>
      </c>
      <c r="D369" s="2" t="s">
        <v>578</v>
      </c>
      <c r="E369" s="2" t="s">
        <v>21</v>
      </c>
      <c r="F369" s="2" t="s">
        <v>22</v>
      </c>
      <c r="G369" s="2">
        <v>35000</v>
      </c>
      <c r="H369" s="2">
        <v>3</v>
      </c>
      <c r="I369" s="2">
        <v>0</v>
      </c>
      <c r="J369" s="2" t="s">
        <v>676</v>
      </c>
      <c r="K369" s="2">
        <v>3420.88</v>
      </c>
      <c r="L369" s="2" t="s">
        <v>33</v>
      </c>
    </row>
    <row r="370" spans="1:12" x14ac:dyDescent="0.25">
      <c r="A370" s="2" t="s">
        <v>165</v>
      </c>
      <c r="B370" s="2" t="s">
        <v>775</v>
      </c>
      <c r="C370" s="2" t="s">
        <v>65</v>
      </c>
      <c r="D370" s="2" t="s">
        <v>20</v>
      </c>
      <c r="E370" s="2" t="s">
        <v>36</v>
      </c>
      <c r="F370" s="2" t="s">
        <v>549</v>
      </c>
      <c r="G370" s="2">
        <v>8000</v>
      </c>
      <c r="H370" s="2">
        <v>2</v>
      </c>
      <c r="I370" s="2">
        <v>0.2</v>
      </c>
      <c r="J370" s="2" t="s">
        <v>690</v>
      </c>
      <c r="K370" s="2">
        <v>3279.73</v>
      </c>
      <c r="L370" s="2" t="s">
        <v>17</v>
      </c>
    </row>
    <row r="371" spans="1:12" x14ac:dyDescent="0.25">
      <c r="A371" s="2" t="s">
        <v>364</v>
      </c>
      <c r="B371" s="2" t="s">
        <v>904</v>
      </c>
      <c r="C371" s="2" t="s">
        <v>81</v>
      </c>
      <c r="D371" s="2" t="s">
        <v>32</v>
      </c>
      <c r="E371" s="2" t="s">
        <v>49</v>
      </c>
      <c r="F371" s="2" t="s">
        <v>41</v>
      </c>
      <c r="G371" s="2">
        <v>15000</v>
      </c>
      <c r="H371" s="2">
        <v>1</v>
      </c>
      <c r="I371" s="2">
        <v>0</v>
      </c>
      <c r="J371" s="2" t="s">
        <v>526</v>
      </c>
      <c r="K371" s="2">
        <v>3067.86</v>
      </c>
      <c r="L371" s="2" t="s">
        <v>17</v>
      </c>
    </row>
    <row r="372" spans="1:12" x14ac:dyDescent="0.25">
      <c r="A372" s="2" t="s">
        <v>339</v>
      </c>
      <c r="B372" s="2" t="s">
        <v>905</v>
      </c>
      <c r="C372" s="2" t="s">
        <v>19</v>
      </c>
      <c r="D372" s="2" t="s">
        <v>578</v>
      </c>
      <c r="E372" s="2" t="s">
        <v>15</v>
      </c>
      <c r="F372" s="2" t="s">
        <v>22</v>
      </c>
      <c r="G372" s="2">
        <v>35000</v>
      </c>
      <c r="H372" s="2">
        <v>1</v>
      </c>
      <c r="I372" s="2">
        <v>0.15</v>
      </c>
      <c r="J372" s="2" t="s">
        <v>608</v>
      </c>
      <c r="K372" s="2">
        <v>202.25</v>
      </c>
      <c r="L372" s="2" t="s">
        <v>17</v>
      </c>
    </row>
    <row r="373" spans="1:12" x14ac:dyDescent="0.25">
      <c r="A373" s="2" t="s">
        <v>492</v>
      </c>
      <c r="B373" s="2" t="s">
        <v>906</v>
      </c>
      <c r="C373" s="2" t="s">
        <v>81</v>
      </c>
      <c r="D373" s="2" t="s">
        <v>506</v>
      </c>
      <c r="E373" s="2" t="s">
        <v>36</v>
      </c>
      <c r="F373" s="2" t="s">
        <v>22</v>
      </c>
      <c r="G373" s="2">
        <v>35000</v>
      </c>
      <c r="H373" s="2">
        <v>2</v>
      </c>
      <c r="I373" s="2">
        <v>0</v>
      </c>
      <c r="J373" s="2" t="s">
        <v>537</v>
      </c>
      <c r="K373" s="2">
        <v>0</v>
      </c>
      <c r="L373" s="2" t="s">
        <v>33</v>
      </c>
    </row>
    <row r="374" spans="1:12" x14ac:dyDescent="0.25">
      <c r="A374" s="2" t="s">
        <v>438</v>
      </c>
      <c r="B374" s="2" t="s">
        <v>907</v>
      </c>
      <c r="C374" s="2" t="s">
        <v>24</v>
      </c>
      <c r="D374" s="2" t="s">
        <v>35</v>
      </c>
      <c r="E374" s="2" t="s">
        <v>26</v>
      </c>
      <c r="F374" s="2" t="s">
        <v>41</v>
      </c>
      <c r="G374" s="2">
        <v>15000</v>
      </c>
      <c r="H374" s="2">
        <v>1</v>
      </c>
      <c r="I374" s="2">
        <v>0</v>
      </c>
      <c r="J374" s="2" t="s">
        <v>526</v>
      </c>
      <c r="K374" s="2">
        <v>2132.6</v>
      </c>
      <c r="L374" s="2" t="s">
        <v>496</v>
      </c>
    </row>
    <row r="375" spans="1:12" x14ac:dyDescent="0.25">
      <c r="A375" s="2" t="s">
        <v>103</v>
      </c>
      <c r="B375" s="2" t="s">
        <v>908</v>
      </c>
      <c r="C375" s="2" t="s">
        <v>31</v>
      </c>
      <c r="D375" s="2" t="s">
        <v>514</v>
      </c>
      <c r="E375" s="2" t="s">
        <v>522</v>
      </c>
      <c r="F375" s="2" t="s">
        <v>494</v>
      </c>
      <c r="G375" s="2">
        <v>5000</v>
      </c>
      <c r="H375" s="2">
        <v>3</v>
      </c>
      <c r="I375" s="2">
        <v>0</v>
      </c>
      <c r="J375" s="2" t="s">
        <v>526</v>
      </c>
      <c r="K375" s="2">
        <v>779.82</v>
      </c>
      <c r="L375" s="2" t="s">
        <v>33</v>
      </c>
    </row>
    <row r="376" spans="1:12" x14ac:dyDescent="0.25">
      <c r="A376" s="2" t="s">
        <v>182</v>
      </c>
      <c r="B376" s="2" t="s">
        <v>909</v>
      </c>
      <c r="C376" s="2" t="s">
        <v>521</v>
      </c>
      <c r="D376" s="2" t="s">
        <v>20</v>
      </c>
      <c r="E376" s="2" t="s">
        <v>36</v>
      </c>
      <c r="F376" s="2" t="s">
        <v>494</v>
      </c>
      <c r="G376" s="2">
        <v>5000</v>
      </c>
      <c r="H376" s="2">
        <v>2</v>
      </c>
      <c r="I376" s="2">
        <v>0</v>
      </c>
      <c r="J376" s="2" t="s">
        <v>519</v>
      </c>
      <c r="K376" s="2">
        <v>809.92</v>
      </c>
      <c r="L376" s="2" t="s">
        <v>500</v>
      </c>
    </row>
    <row r="377" spans="1:12" x14ac:dyDescent="0.25">
      <c r="A377" s="2" t="s">
        <v>233</v>
      </c>
      <c r="B377" s="2" t="s">
        <v>769</v>
      </c>
      <c r="C377" s="2" t="s">
        <v>31</v>
      </c>
      <c r="D377" s="2" t="s">
        <v>514</v>
      </c>
      <c r="E377" s="2" t="s">
        <v>49</v>
      </c>
      <c r="F377" s="2" t="s">
        <v>549</v>
      </c>
      <c r="G377" s="2">
        <v>8000</v>
      </c>
      <c r="H377" s="2">
        <v>1</v>
      </c>
      <c r="I377" s="2">
        <v>0</v>
      </c>
      <c r="J377" s="2" t="s">
        <v>495</v>
      </c>
      <c r="K377" s="2">
        <v>966.31</v>
      </c>
      <c r="L377" s="2" t="s">
        <v>17</v>
      </c>
    </row>
    <row r="378" spans="1:12" x14ac:dyDescent="0.25">
      <c r="A378" s="2" t="s">
        <v>309</v>
      </c>
      <c r="B378" s="2" t="s">
        <v>910</v>
      </c>
      <c r="C378" s="2" t="s">
        <v>65</v>
      </c>
      <c r="D378" s="2" t="s">
        <v>35</v>
      </c>
      <c r="E378" s="2" t="s">
        <v>39</v>
      </c>
      <c r="F378" s="2" t="s">
        <v>22</v>
      </c>
      <c r="G378" s="2">
        <v>35000</v>
      </c>
      <c r="H378" s="2">
        <v>3</v>
      </c>
      <c r="I378" s="2">
        <v>0</v>
      </c>
      <c r="J378" s="2" t="s">
        <v>676</v>
      </c>
      <c r="K378" s="2">
        <v>1982.28</v>
      </c>
      <c r="L378" s="2" t="s">
        <v>17</v>
      </c>
    </row>
    <row r="379" spans="1:12" x14ac:dyDescent="0.25">
      <c r="A379" s="2" t="s">
        <v>450</v>
      </c>
      <c r="B379" s="2" t="s">
        <v>911</v>
      </c>
      <c r="C379" s="2" t="s">
        <v>511</v>
      </c>
      <c r="D379" s="2" t="s">
        <v>35</v>
      </c>
      <c r="E379" s="2" t="s">
        <v>522</v>
      </c>
      <c r="F379" s="2" t="s">
        <v>494</v>
      </c>
      <c r="G379" s="2">
        <v>5000</v>
      </c>
      <c r="H379" s="2">
        <v>1</v>
      </c>
      <c r="I379" s="2">
        <v>0</v>
      </c>
      <c r="J379" s="2" t="s">
        <v>529</v>
      </c>
      <c r="K379" s="2">
        <v>2038.5</v>
      </c>
      <c r="L379" s="2" t="s">
        <v>33</v>
      </c>
    </row>
    <row r="380" spans="1:12" x14ac:dyDescent="0.25">
      <c r="A380" s="2" t="s">
        <v>461</v>
      </c>
      <c r="B380" s="2" t="s">
        <v>772</v>
      </c>
      <c r="C380" s="2" t="s">
        <v>511</v>
      </c>
      <c r="D380" s="2" t="s">
        <v>506</v>
      </c>
      <c r="E380" s="2" t="s">
        <v>522</v>
      </c>
      <c r="F380" s="2" t="s">
        <v>41</v>
      </c>
      <c r="G380" s="2">
        <v>15000</v>
      </c>
      <c r="H380" s="2">
        <v>1</v>
      </c>
      <c r="I380" s="2">
        <v>0.2</v>
      </c>
      <c r="J380" s="2" t="s">
        <v>589</v>
      </c>
      <c r="K380" s="2">
        <v>0</v>
      </c>
      <c r="L380" s="2" t="s">
        <v>33</v>
      </c>
    </row>
    <row r="381" spans="1:12" x14ac:dyDescent="0.25">
      <c r="A381" s="2" t="s">
        <v>378</v>
      </c>
      <c r="B381" s="2" t="s">
        <v>912</v>
      </c>
      <c r="C381" s="2" t="s">
        <v>24</v>
      </c>
      <c r="D381" s="2" t="s">
        <v>28</v>
      </c>
      <c r="E381" s="2" t="s">
        <v>49</v>
      </c>
      <c r="F381" s="2" t="s">
        <v>43</v>
      </c>
      <c r="G381" s="2">
        <v>65000</v>
      </c>
      <c r="H381" s="2">
        <v>1</v>
      </c>
      <c r="I381" s="2">
        <v>0.05</v>
      </c>
      <c r="J381" s="2" t="s">
        <v>652</v>
      </c>
      <c r="K381" s="2">
        <v>0</v>
      </c>
      <c r="L381" s="2" t="s">
        <v>496</v>
      </c>
    </row>
    <row r="382" spans="1:12" x14ac:dyDescent="0.25">
      <c r="A382" s="2" t="s">
        <v>437</v>
      </c>
      <c r="B382" s="2" t="s">
        <v>913</v>
      </c>
      <c r="C382" s="2" t="s">
        <v>19</v>
      </c>
      <c r="D382" s="2" t="s">
        <v>32</v>
      </c>
      <c r="E382" s="2" t="s">
        <v>525</v>
      </c>
      <c r="F382" s="2" t="s">
        <v>494</v>
      </c>
      <c r="G382" s="2">
        <v>5000</v>
      </c>
      <c r="H382" s="2">
        <v>1</v>
      </c>
      <c r="I382" s="2">
        <v>0</v>
      </c>
      <c r="J382" s="2" t="s">
        <v>529</v>
      </c>
      <c r="K382" s="2">
        <v>308.58</v>
      </c>
      <c r="L382" s="2" t="s">
        <v>17</v>
      </c>
    </row>
    <row r="383" spans="1:12" x14ac:dyDescent="0.25">
      <c r="A383" s="2" t="s">
        <v>237</v>
      </c>
      <c r="B383" s="2" t="s">
        <v>914</v>
      </c>
      <c r="C383" s="2" t="s">
        <v>81</v>
      </c>
      <c r="D383" s="2" t="s">
        <v>578</v>
      </c>
      <c r="E383" s="2" t="s">
        <v>21</v>
      </c>
      <c r="F383" s="2" t="s">
        <v>22</v>
      </c>
      <c r="G383" s="2">
        <v>35000</v>
      </c>
      <c r="H383" s="2">
        <v>1</v>
      </c>
      <c r="I383" s="2">
        <v>0</v>
      </c>
      <c r="J383" s="2" t="s">
        <v>616</v>
      </c>
      <c r="K383" s="2">
        <v>3097.84</v>
      </c>
      <c r="L383" s="2" t="s">
        <v>33</v>
      </c>
    </row>
    <row r="384" spans="1:12" x14ac:dyDescent="0.25">
      <c r="A384" s="2" t="s">
        <v>305</v>
      </c>
      <c r="B384" s="2" t="s">
        <v>915</v>
      </c>
      <c r="C384" s="2" t="s">
        <v>31</v>
      </c>
      <c r="D384" s="2" t="s">
        <v>32</v>
      </c>
      <c r="E384" s="2" t="s">
        <v>36</v>
      </c>
      <c r="F384" s="2" t="s">
        <v>22</v>
      </c>
      <c r="G384" s="2">
        <v>35000</v>
      </c>
      <c r="H384" s="2">
        <v>1</v>
      </c>
      <c r="I384" s="2">
        <v>0</v>
      </c>
      <c r="J384" s="2" t="s">
        <v>616</v>
      </c>
      <c r="K384" s="2">
        <v>3320.49</v>
      </c>
      <c r="L384" s="2" t="s">
        <v>33</v>
      </c>
    </row>
    <row r="385" spans="1:12" x14ac:dyDescent="0.25">
      <c r="A385" s="2" t="s">
        <v>356</v>
      </c>
      <c r="B385" s="2" t="s">
        <v>916</v>
      </c>
      <c r="C385" s="2" t="s">
        <v>81</v>
      </c>
      <c r="D385" s="2" t="s">
        <v>534</v>
      </c>
      <c r="E385" s="2" t="s">
        <v>525</v>
      </c>
      <c r="F385" s="2" t="s">
        <v>22</v>
      </c>
      <c r="G385" s="2">
        <v>35000</v>
      </c>
      <c r="H385" s="2">
        <v>3</v>
      </c>
      <c r="I385" s="2">
        <v>0.15</v>
      </c>
      <c r="J385" s="2" t="s">
        <v>728</v>
      </c>
      <c r="K385" s="2">
        <v>1412.26</v>
      </c>
      <c r="L385" s="2" t="s">
        <v>500</v>
      </c>
    </row>
    <row r="386" spans="1:12" x14ac:dyDescent="0.25">
      <c r="A386" s="2" t="s">
        <v>127</v>
      </c>
      <c r="B386" s="2" t="s">
        <v>917</v>
      </c>
      <c r="C386" s="2" t="s">
        <v>81</v>
      </c>
      <c r="D386" s="2" t="s">
        <v>534</v>
      </c>
      <c r="E386" s="2" t="s">
        <v>36</v>
      </c>
      <c r="F386" s="2" t="s">
        <v>22</v>
      </c>
      <c r="G386" s="2">
        <v>35000</v>
      </c>
      <c r="H386" s="2">
        <v>1</v>
      </c>
      <c r="I386" s="2">
        <v>0</v>
      </c>
      <c r="J386" s="2" t="s">
        <v>616</v>
      </c>
      <c r="K386" s="2">
        <v>2431.9499999999998</v>
      </c>
      <c r="L386" s="2" t="s">
        <v>17</v>
      </c>
    </row>
    <row r="387" spans="1:12" x14ac:dyDescent="0.25">
      <c r="A387" s="2" t="s">
        <v>441</v>
      </c>
      <c r="B387" s="2" t="s">
        <v>918</v>
      </c>
      <c r="C387" s="2" t="s">
        <v>19</v>
      </c>
      <c r="D387" s="2" t="s">
        <v>506</v>
      </c>
      <c r="E387" s="2" t="s">
        <v>49</v>
      </c>
      <c r="F387" s="2" t="s">
        <v>22</v>
      </c>
      <c r="G387" s="2">
        <v>35000</v>
      </c>
      <c r="H387" s="2">
        <v>2</v>
      </c>
      <c r="I387" s="2">
        <v>0</v>
      </c>
      <c r="J387" s="2" t="s">
        <v>537</v>
      </c>
      <c r="K387" s="2">
        <v>0</v>
      </c>
      <c r="L387" s="2" t="s">
        <v>496</v>
      </c>
    </row>
    <row r="388" spans="1:12" x14ac:dyDescent="0.25">
      <c r="A388" s="2" t="s">
        <v>91</v>
      </c>
      <c r="B388" s="2" t="s">
        <v>919</v>
      </c>
      <c r="C388" s="2" t="s">
        <v>65</v>
      </c>
      <c r="D388" s="2" t="s">
        <v>534</v>
      </c>
      <c r="E388" s="2" t="s">
        <v>15</v>
      </c>
      <c r="F388" s="2" t="s">
        <v>549</v>
      </c>
      <c r="G388" s="2">
        <v>8000</v>
      </c>
      <c r="H388" s="2">
        <v>1</v>
      </c>
      <c r="I388" s="2">
        <v>0</v>
      </c>
      <c r="J388" s="2" t="s">
        <v>495</v>
      </c>
      <c r="K388" s="2">
        <v>2356.81</v>
      </c>
      <c r="L388" s="2" t="s">
        <v>17</v>
      </c>
    </row>
    <row r="389" spans="1:12" x14ac:dyDescent="0.25">
      <c r="A389" s="2" t="s">
        <v>173</v>
      </c>
      <c r="B389" s="2" t="s">
        <v>920</v>
      </c>
      <c r="C389" s="2" t="s">
        <v>65</v>
      </c>
      <c r="D389" s="2" t="s">
        <v>506</v>
      </c>
      <c r="E389" s="2" t="s">
        <v>36</v>
      </c>
      <c r="F389" s="2" t="s">
        <v>549</v>
      </c>
      <c r="G389" s="2">
        <v>8000</v>
      </c>
      <c r="H389" s="2">
        <v>1</v>
      </c>
      <c r="I389" s="2">
        <v>0</v>
      </c>
      <c r="J389" s="2" t="s">
        <v>495</v>
      </c>
      <c r="K389" s="2">
        <v>0</v>
      </c>
      <c r="L389" s="2" t="s">
        <v>500</v>
      </c>
    </row>
    <row r="390" spans="1:12" x14ac:dyDescent="0.25">
      <c r="A390" s="2" t="s">
        <v>173</v>
      </c>
      <c r="B390" s="2" t="s">
        <v>920</v>
      </c>
      <c r="C390" s="2" t="s">
        <v>65</v>
      </c>
      <c r="D390" s="2" t="s">
        <v>506</v>
      </c>
      <c r="E390" s="2" t="s">
        <v>36</v>
      </c>
      <c r="F390" s="2" t="s">
        <v>549</v>
      </c>
      <c r="G390" s="2">
        <v>8000</v>
      </c>
      <c r="H390" s="2">
        <v>1</v>
      </c>
      <c r="I390" s="2">
        <v>0</v>
      </c>
      <c r="J390" s="2" t="s">
        <v>495</v>
      </c>
      <c r="K390" s="2">
        <v>0</v>
      </c>
      <c r="L390" s="2" t="s">
        <v>500</v>
      </c>
    </row>
    <row r="391" spans="1:12" x14ac:dyDescent="0.25">
      <c r="A391" s="2" t="s">
        <v>160</v>
      </c>
      <c r="B391" s="2" t="s">
        <v>740</v>
      </c>
      <c r="C391" s="2" t="s">
        <v>521</v>
      </c>
      <c r="D391" s="2" t="s">
        <v>28</v>
      </c>
      <c r="E391" s="2" t="s">
        <v>525</v>
      </c>
      <c r="F391" s="2" t="s">
        <v>43</v>
      </c>
      <c r="G391" s="2">
        <v>65000</v>
      </c>
      <c r="H391" s="2">
        <v>2</v>
      </c>
      <c r="I391" s="2">
        <v>0.2</v>
      </c>
      <c r="J391" s="2" t="s">
        <v>802</v>
      </c>
      <c r="K391" s="2">
        <v>0</v>
      </c>
      <c r="L391" s="2" t="s">
        <v>17</v>
      </c>
    </row>
    <row r="392" spans="1:12" x14ac:dyDescent="0.25">
      <c r="A392" s="2" t="s">
        <v>215</v>
      </c>
      <c r="B392" s="2" t="s">
        <v>921</v>
      </c>
      <c r="C392" s="2" t="s">
        <v>65</v>
      </c>
      <c r="D392" s="2" t="s">
        <v>35</v>
      </c>
      <c r="E392" s="2" t="s">
        <v>525</v>
      </c>
      <c r="F392" s="2" t="s">
        <v>41</v>
      </c>
      <c r="G392" s="2">
        <v>15000</v>
      </c>
      <c r="H392" s="2">
        <v>1</v>
      </c>
      <c r="I392" s="2">
        <v>0</v>
      </c>
      <c r="J392" s="2" t="s">
        <v>526</v>
      </c>
      <c r="K392" s="2">
        <v>3427.1</v>
      </c>
      <c r="L392" s="2" t="s">
        <v>17</v>
      </c>
    </row>
    <row r="393" spans="1:12" x14ac:dyDescent="0.25">
      <c r="A393" s="2" t="s">
        <v>413</v>
      </c>
      <c r="B393" s="2" t="s">
        <v>922</v>
      </c>
      <c r="C393" s="2" t="s">
        <v>31</v>
      </c>
      <c r="D393" s="2" t="s">
        <v>506</v>
      </c>
      <c r="E393" s="2" t="s">
        <v>21</v>
      </c>
      <c r="F393" s="2" t="s">
        <v>549</v>
      </c>
      <c r="G393" s="2">
        <v>8000</v>
      </c>
      <c r="H393" s="2">
        <v>1</v>
      </c>
      <c r="I393" s="2">
        <v>0</v>
      </c>
      <c r="J393" s="2" t="s">
        <v>495</v>
      </c>
      <c r="K393" s="2">
        <v>0</v>
      </c>
      <c r="L393" s="2" t="s">
        <v>17</v>
      </c>
    </row>
    <row r="394" spans="1:12" x14ac:dyDescent="0.25">
      <c r="A394" s="2" t="s">
        <v>164</v>
      </c>
      <c r="B394" s="2" t="s">
        <v>923</v>
      </c>
      <c r="C394" s="2" t="s">
        <v>13</v>
      </c>
      <c r="D394" s="2" t="s">
        <v>32</v>
      </c>
      <c r="E394" s="2" t="s">
        <v>39</v>
      </c>
      <c r="F394" s="2" t="s">
        <v>22</v>
      </c>
      <c r="G394" s="2">
        <v>35000</v>
      </c>
      <c r="H394" s="2">
        <v>1</v>
      </c>
      <c r="I394" s="2">
        <v>0</v>
      </c>
      <c r="J394" s="2"/>
      <c r="K394" s="2">
        <v>1599.43</v>
      </c>
      <c r="L394" s="2" t="s">
        <v>33</v>
      </c>
    </row>
    <row r="395" spans="1:12" x14ac:dyDescent="0.25">
      <c r="A395" s="2" t="s">
        <v>223</v>
      </c>
      <c r="B395" s="2" t="s">
        <v>814</v>
      </c>
      <c r="C395" s="2" t="s">
        <v>24</v>
      </c>
      <c r="D395" s="2" t="s">
        <v>38</v>
      </c>
      <c r="E395" s="2" t="s">
        <v>26</v>
      </c>
      <c r="F395" s="2" t="s">
        <v>41</v>
      </c>
      <c r="G395" s="2">
        <v>15000</v>
      </c>
      <c r="H395" s="2">
        <v>1</v>
      </c>
      <c r="I395" s="2">
        <v>0</v>
      </c>
      <c r="J395" s="2" t="s">
        <v>526</v>
      </c>
      <c r="K395" s="2">
        <v>0</v>
      </c>
      <c r="L395" s="2" t="s">
        <v>33</v>
      </c>
    </row>
    <row r="396" spans="1:12" x14ac:dyDescent="0.25">
      <c r="A396" s="2" t="s">
        <v>463</v>
      </c>
      <c r="B396" s="2" t="s">
        <v>530</v>
      </c>
      <c r="C396" s="2" t="s">
        <v>13</v>
      </c>
      <c r="D396" s="2" t="s">
        <v>20</v>
      </c>
      <c r="E396" s="2" t="s">
        <v>36</v>
      </c>
      <c r="F396" s="2" t="s">
        <v>43</v>
      </c>
      <c r="G396" s="2">
        <v>65000</v>
      </c>
      <c r="H396" s="2">
        <v>1</v>
      </c>
      <c r="I396" s="2">
        <v>0.2</v>
      </c>
      <c r="J396" s="2" t="s">
        <v>512</v>
      </c>
      <c r="K396" s="2">
        <v>2469.5300000000002</v>
      </c>
      <c r="L396" s="2" t="s">
        <v>17</v>
      </c>
    </row>
    <row r="397" spans="1:12" x14ac:dyDescent="0.25">
      <c r="A397" s="2" t="s">
        <v>64</v>
      </c>
      <c r="B397" s="2" t="s">
        <v>924</v>
      </c>
      <c r="C397" s="2" t="s">
        <v>65</v>
      </c>
      <c r="D397" s="2"/>
      <c r="E397" s="2" t="s">
        <v>522</v>
      </c>
      <c r="F397" s="2" t="s">
        <v>43</v>
      </c>
      <c r="G397" s="2">
        <v>65000</v>
      </c>
      <c r="H397" s="2">
        <v>1</v>
      </c>
      <c r="I397" s="2">
        <v>0.1</v>
      </c>
      <c r="J397" s="2" t="s">
        <v>601</v>
      </c>
      <c r="K397" s="2">
        <v>0</v>
      </c>
      <c r="L397" s="2" t="s">
        <v>33</v>
      </c>
    </row>
    <row r="398" spans="1:12" x14ac:dyDescent="0.25">
      <c r="A398" s="2" t="s">
        <v>226</v>
      </c>
      <c r="B398" s="2" t="s">
        <v>925</v>
      </c>
      <c r="C398" s="2" t="s">
        <v>24</v>
      </c>
      <c r="D398" s="2" t="s">
        <v>534</v>
      </c>
      <c r="E398" s="2" t="s">
        <v>39</v>
      </c>
      <c r="F398" s="2" t="s">
        <v>43</v>
      </c>
      <c r="G398" s="2">
        <v>65000</v>
      </c>
      <c r="H398" s="2">
        <v>1</v>
      </c>
      <c r="I398" s="2">
        <v>0.05</v>
      </c>
      <c r="J398" s="2" t="s">
        <v>652</v>
      </c>
      <c r="K398" s="2">
        <v>2436.27</v>
      </c>
      <c r="L398" s="2" t="s">
        <v>496</v>
      </c>
    </row>
    <row r="399" spans="1:12" x14ac:dyDescent="0.25">
      <c r="A399" s="2" t="s">
        <v>432</v>
      </c>
      <c r="B399" s="2" t="s">
        <v>926</v>
      </c>
      <c r="C399" s="2" t="s">
        <v>81</v>
      </c>
      <c r="D399" s="2"/>
      <c r="E399" s="2" t="s">
        <v>21</v>
      </c>
      <c r="F399" s="2" t="s">
        <v>549</v>
      </c>
      <c r="G399" s="2">
        <v>8000</v>
      </c>
      <c r="H399" s="2">
        <v>2</v>
      </c>
      <c r="I399" s="2">
        <v>0</v>
      </c>
      <c r="J399" s="2" t="s">
        <v>550</v>
      </c>
      <c r="K399" s="2">
        <v>3281.66</v>
      </c>
      <c r="L399" s="2" t="s">
        <v>17</v>
      </c>
    </row>
    <row r="400" spans="1:12" x14ac:dyDescent="0.25">
      <c r="A400" s="2" t="s">
        <v>84</v>
      </c>
      <c r="B400" s="2" t="s">
        <v>927</v>
      </c>
      <c r="C400" s="2" t="s">
        <v>511</v>
      </c>
      <c r="D400" s="2" t="s">
        <v>28</v>
      </c>
      <c r="E400" s="2" t="s">
        <v>49</v>
      </c>
      <c r="F400" s="2" t="s">
        <v>22</v>
      </c>
      <c r="G400" s="2">
        <v>35000</v>
      </c>
      <c r="H400" s="2">
        <v>3</v>
      </c>
      <c r="I400" s="2">
        <v>0</v>
      </c>
      <c r="J400" s="2" t="s">
        <v>676</v>
      </c>
      <c r="K400" s="2">
        <v>0</v>
      </c>
      <c r="L400" s="2" t="s">
        <v>500</v>
      </c>
    </row>
    <row r="401" spans="1:12" x14ac:dyDescent="0.25">
      <c r="A401" s="2" t="s">
        <v>361</v>
      </c>
      <c r="B401" s="2" t="s">
        <v>928</v>
      </c>
      <c r="C401" s="2" t="s">
        <v>65</v>
      </c>
      <c r="D401" s="2" t="s">
        <v>35</v>
      </c>
      <c r="E401" s="2" t="s">
        <v>15</v>
      </c>
      <c r="F401" s="2" t="s">
        <v>43</v>
      </c>
      <c r="G401" s="2">
        <v>65000</v>
      </c>
      <c r="H401" s="2">
        <v>2</v>
      </c>
      <c r="I401" s="2">
        <v>0.1</v>
      </c>
      <c r="J401" s="2" t="s">
        <v>507</v>
      </c>
      <c r="K401" s="2">
        <v>1840.84</v>
      </c>
      <c r="L401" s="2" t="s">
        <v>496</v>
      </c>
    </row>
    <row r="402" spans="1:12" x14ac:dyDescent="0.25">
      <c r="A402" s="2" t="s">
        <v>200</v>
      </c>
      <c r="B402" s="2" t="s">
        <v>929</v>
      </c>
      <c r="C402" s="2" t="s">
        <v>31</v>
      </c>
      <c r="D402" s="2" t="s">
        <v>534</v>
      </c>
      <c r="E402" s="2" t="s">
        <v>525</v>
      </c>
      <c r="F402" s="2" t="s">
        <v>494</v>
      </c>
      <c r="G402" s="2">
        <v>5000</v>
      </c>
      <c r="H402" s="2">
        <v>2</v>
      </c>
      <c r="I402" s="2">
        <v>0</v>
      </c>
      <c r="J402" s="2" t="s">
        <v>519</v>
      </c>
      <c r="K402" s="2">
        <v>2094.88</v>
      </c>
      <c r="L402" s="2" t="s">
        <v>500</v>
      </c>
    </row>
    <row r="403" spans="1:12" x14ac:dyDescent="0.25">
      <c r="A403" s="2" t="s">
        <v>174</v>
      </c>
      <c r="B403" s="2" t="s">
        <v>930</v>
      </c>
      <c r="C403" s="2" t="s">
        <v>81</v>
      </c>
      <c r="D403" s="2" t="s">
        <v>32</v>
      </c>
      <c r="E403" s="2" t="s">
        <v>525</v>
      </c>
      <c r="F403" s="2" t="s">
        <v>41</v>
      </c>
      <c r="G403" s="2">
        <v>15000</v>
      </c>
      <c r="H403" s="2">
        <v>1</v>
      </c>
      <c r="I403" s="2">
        <v>0</v>
      </c>
      <c r="J403" s="2" t="s">
        <v>526</v>
      </c>
      <c r="K403" s="2">
        <v>2309.31</v>
      </c>
      <c r="L403" s="2" t="s">
        <v>17</v>
      </c>
    </row>
    <row r="404" spans="1:12" x14ac:dyDescent="0.25">
      <c r="A404" s="2" t="s">
        <v>459</v>
      </c>
      <c r="B404" s="2" t="s">
        <v>931</v>
      </c>
      <c r="C404" s="2" t="s">
        <v>19</v>
      </c>
      <c r="D404" s="2" t="s">
        <v>534</v>
      </c>
      <c r="E404" s="2" t="s">
        <v>26</v>
      </c>
      <c r="F404" s="2" t="s">
        <v>43</v>
      </c>
      <c r="G404" s="2">
        <v>65000</v>
      </c>
      <c r="H404" s="2">
        <v>2</v>
      </c>
      <c r="I404" s="2">
        <v>0.05</v>
      </c>
      <c r="J404" s="2" t="s">
        <v>547</v>
      </c>
      <c r="K404" s="2">
        <v>479.26</v>
      </c>
      <c r="L404" s="2" t="s">
        <v>17</v>
      </c>
    </row>
    <row r="405" spans="1:12" x14ac:dyDescent="0.25">
      <c r="A405" s="2" t="s">
        <v>204</v>
      </c>
      <c r="B405" s="2" t="s">
        <v>927</v>
      </c>
      <c r="C405" s="2" t="s">
        <v>24</v>
      </c>
      <c r="D405" s="2" t="s">
        <v>534</v>
      </c>
      <c r="E405" s="2" t="s">
        <v>15</v>
      </c>
      <c r="F405" s="2" t="s">
        <v>41</v>
      </c>
      <c r="G405" s="2">
        <v>15000</v>
      </c>
      <c r="H405" s="2">
        <v>1</v>
      </c>
      <c r="I405" s="2">
        <v>0</v>
      </c>
      <c r="J405" s="2" t="s">
        <v>526</v>
      </c>
      <c r="K405" s="2">
        <v>1606.44</v>
      </c>
      <c r="L405" s="2" t="s">
        <v>496</v>
      </c>
    </row>
    <row r="406" spans="1:12" x14ac:dyDescent="0.25">
      <c r="A406" s="2" t="s">
        <v>430</v>
      </c>
      <c r="B406" s="2" t="s">
        <v>932</v>
      </c>
      <c r="C406" s="2" t="s">
        <v>13</v>
      </c>
      <c r="D406" s="2" t="s">
        <v>28</v>
      </c>
      <c r="E406" s="2" t="s">
        <v>49</v>
      </c>
      <c r="F406" s="2" t="s">
        <v>494</v>
      </c>
      <c r="G406" s="2">
        <v>5000</v>
      </c>
      <c r="H406" s="2">
        <v>2</v>
      </c>
      <c r="I406" s="2">
        <v>0</v>
      </c>
      <c r="J406" s="2" t="s">
        <v>519</v>
      </c>
      <c r="K406" s="2">
        <v>0</v>
      </c>
      <c r="L406" s="2" t="s">
        <v>17</v>
      </c>
    </row>
    <row r="407" spans="1:12" x14ac:dyDescent="0.25">
      <c r="A407" s="2" t="s">
        <v>452</v>
      </c>
      <c r="B407" s="2" t="s">
        <v>933</v>
      </c>
      <c r="C407" s="2" t="s">
        <v>19</v>
      </c>
      <c r="D407" s="2" t="s">
        <v>35</v>
      </c>
      <c r="E407" s="2" t="s">
        <v>525</v>
      </c>
      <c r="F407" s="2" t="s">
        <v>22</v>
      </c>
      <c r="G407" s="2">
        <v>35000</v>
      </c>
      <c r="H407" s="2">
        <v>3</v>
      </c>
      <c r="I407" s="2">
        <v>0</v>
      </c>
      <c r="J407" s="2" t="s">
        <v>676</v>
      </c>
      <c r="K407" s="2">
        <v>2851.51</v>
      </c>
      <c r="L407" s="2" t="s">
        <v>500</v>
      </c>
    </row>
    <row r="408" spans="1:12" x14ac:dyDescent="0.25">
      <c r="A408" s="2" t="s">
        <v>291</v>
      </c>
      <c r="B408" s="2" t="s">
        <v>842</v>
      </c>
      <c r="C408" s="2" t="s">
        <v>31</v>
      </c>
      <c r="D408" s="2" t="s">
        <v>534</v>
      </c>
      <c r="E408" s="2" t="s">
        <v>21</v>
      </c>
      <c r="F408" s="2" t="s">
        <v>43</v>
      </c>
      <c r="G408" s="2">
        <v>65000</v>
      </c>
      <c r="H408" s="2">
        <v>1</v>
      </c>
      <c r="I408" s="2">
        <v>0.2</v>
      </c>
      <c r="J408" s="2" t="s">
        <v>512</v>
      </c>
      <c r="K408" s="2">
        <v>588.22</v>
      </c>
      <c r="L408" s="2" t="s">
        <v>33</v>
      </c>
    </row>
    <row r="409" spans="1:12" x14ac:dyDescent="0.25">
      <c r="A409" s="2" t="s">
        <v>189</v>
      </c>
      <c r="B409" s="2" t="s">
        <v>934</v>
      </c>
      <c r="C409" s="2" t="s">
        <v>31</v>
      </c>
      <c r="D409" s="2" t="s">
        <v>20</v>
      </c>
      <c r="E409" s="2" t="s">
        <v>36</v>
      </c>
      <c r="F409" s="2" t="s">
        <v>41</v>
      </c>
      <c r="G409" s="2">
        <v>15000</v>
      </c>
      <c r="H409" s="2">
        <v>1</v>
      </c>
      <c r="I409" s="2">
        <v>0.1</v>
      </c>
      <c r="J409" s="2" t="s">
        <v>541</v>
      </c>
      <c r="K409" s="2">
        <v>1753.99</v>
      </c>
      <c r="L409" s="2" t="s">
        <v>500</v>
      </c>
    </row>
    <row r="410" spans="1:12" x14ac:dyDescent="0.25">
      <c r="A410" s="2" t="s">
        <v>424</v>
      </c>
      <c r="B410" s="2" t="s">
        <v>683</v>
      </c>
      <c r="C410" s="2" t="s">
        <v>65</v>
      </c>
      <c r="D410" s="2" t="s">
        <v>506</v>
      </c>
      <c r="E410" s="2"/>
      <c r="F410" s="2" t="s">
        <v>22</v>
      </c>
      <c r="G410" s="2">
        <v>35000</v>
      </c>
      <c r="H410" s="2">
        <v>1</v>
      </c>
      <c r="I410" s="2">
        <v>0</v>
      </c>
      <c r="J410" s="2" t="s">
        <v>616</v>
      </c>
      <c r="K410" s="2">
        <v>0</v>
      </c>
      <c r="L410" s="2" t="s">
        <v>33</v>
      </c>
    </row>
    <row r="411" spans="1:12" x14ac:dyDescent="0.25">
      <c r="A411" s="2" t="s">
        <v>265</v>
      </c>
      <c r="B411" s="2" t="s">
        <v>935</v>
      </c>
      <c r="C411" s="2" t="s">
        <v>521</v>
      </c>
      <c r="D411" s="2" t="s">
        <v>20</v>
      </c>
      <c r="E411" s="2" t="s">
        <v>49</v>
      </c>
      <c r="F411" s="2" t="s">
        <v>22</v>
      </c>
      <c r="G411" s="2">
        <v>35000</v>
      </c>
      <c r="H411" s="2">
        <v>2</v>
      </c>
      <c r="I411" s="2">
        <v>0.15</v>
      </c>
      <c r="J411" s="2" t="s">
        <v>611</v>
      </c>
      <c r="K411" s="2">
        <v>3450.58</v>
      </c>
      <c r="L411" s="2" t="s">
        <v>496</v>
      </c>
    </row>
    <row r="412" spans="1:12" x14ac:dyDescent="0.25">
      <c r="A412" s="2" t="s">
        <v>253</v>
      </c>
      <c r="B412" s="2" t="s">
        <v>936</v>
      </c>
      <c r="C412" s="2" t="s">
        <v>521</v>
      </c>
      <c r="D412" s="2" t="s">
        <v>506</v>
      </c>
      <c r="E412" s="2" t="s">
        <v>522</v>
      </c>
      <c r="F412" s="2" t="s">
        <v>494</v>
      </c>
      <c r="G412" s="2">
        <v>5000</v>
      </c>
      <c r="H412" s="2">
        <v>2</v>
      </c>
      <c r="I412" s="2">
        <v>0.2</v>
      </c>
      <c r="J412" s="2" t="s">
        <v>495</v>
      </c>
      <c r="K412" s="2">
        <v>0</v>
      </c>
      <c r="L412" s="2" t="s">
        <v>17</v>
      </c>
    </row>
    <row r="413" spans="1:12" x14ac:dyDescent="0.25">
      <c r="A413" s="2" t="s">
        <v>405</v>
      </c>
      <c r="B413" s="2" t="s">
        <v>937</v>
      </c>
      <c r="C413" s="2" t="s">
        <v>31</v>
      </c>
      <c r="D413" s="2" t="s">
        <v>506</v>
      </c>
      <c r="E413" s="2" t="s">
        <v>39</v>
      </c>
      <c r="F413" s="2" t="s">
        <v>494</v>
      </c>
      <c r="G413" s="2">
        <v>5000</v>
      </c>
      <c r="H413" s="2">
        <v>3</v>
      </c>
      <c r="I413" s="2">
        <v>0.05</v>
      </c>
      <c r="J413" s="2" t="s">
        <v>581</v>
      </c>
      <c r="K413" s="2">
        <v>0</v>
      </c>
      <c r="L413" s="2" t="s">
        <v>33</v>
      </c>
    </row>
    <row r="414" spans="1:12" x14ac:dyDescent="0.25">
      <c r="A414" s="2" t="s">
        <v>402</v>
      </c>
      <c r="B414" s="2" t="s">
        <v>938</v>
      </c>
      <c r="C414" s="2" t="s">
        <v>13</v>
      </c>
      <c r="D414" s="2" t="s">
        <v>20</v>
      </c>
      <c r="E414" s="2" t="s">
        <v>39</v>
      </c>
      <c r="F414" s="2" t="s">
        <v>41</v>
      </c>
      <c r="G414" s="2">
        <v>15000</v>
      </c>
      <c r="H414" s="2">
        <v>1</v>
      </c>
      <c r="I414" s="2">
        <v>0.05</v>
      </c>
      <c r="J414" s="2" t="s">
        <v>581</v>
      </c>
      <c r="K414" s="2">
        <v>961.77</v>
      </c>
      <c r="L414" s="2" t="s">
        <v>496</v>
      </c>
    </row>
    <row r="415" spans="1:12" x14ac:dyDescent="0.25">
      <c r="A415" s="2" t="s">
        <v>322</v>
      </c>
      <c r="B415" s="2" t="s">
        <v>887</v>
      </c>
      <c r="C415" s="2" t="s">
        <v>31</v>
      </c>
      <c r="D415" s="2" t="s">
        <v>534</v>
      </c>
      <c r="E415" s="2" t="s">
        <v>525</v>
      </c>
      <c r="F415" s="2" t="s">
        <v>549</v>
      </c>
      <c r="G415" s="2">
        <v>8000</v>
      </c>
      <c r="H415" s="2">
        <v>2</v>
      </c>
      <c r="I415" s="2">
        <v>0</v>
      </c>
      <c r="J415" s="2" t="s">
        <v>550</v>
      </c>
      <c r="K415" s="2">
        <v>1100.49</v>
      </c>
      <c r="L415" s="2" t="s">
        <v>33</v>
      </c>
    </row>
    <row r="416" spans="1:12" x14ac:dyDescent="0.25">
      <c r="A416" s="2" t="s">
        <v>102</v>
      </c>
      <c r="B416" s="2" t="s">
        <v>939</v>
      </c>
      <c r="C416" s="2" t="s">
        <v>65</v>
      </c>
      <c r="D416" s="2" t="s">
        <v>578</v>
      </c>
      <c r="E416" s="2" t="s">
        <v>26</v>
      </c>
      <c r="F416" s="2" t="s">
        <v>41</v>
      </c>
      <c r="G416" s="2">
        <v>15000</v>
      </c>
      <c r="H416" s="2">
        <v>1</v>
      </c>
      <c r="I416" s="2">
        <v>0</v>
      </c>
      <c r="J416" s="2" t="s">
        <v>526</v>
      </c>
      <c r="K416" s="2">
        <v>3207.99</v>
      </c>
      <c r="L416" s="2" t="s">
        <v>17</v>
      </c>
    </row>
    <row r="417" spans="1:12" x14ac:dyDescent="0.25">
      <c r="A417" s="2" t="s">
        <v>298</v>
      </c>
      <c r="B417" s="2" t="s">
        <v>940</v>
      </c>
      <c r="C417" s="2" t="s">
        <v>521</v>
      </c>
      <c r="D417" s="2" t="s">
        <v>498</v>
      </c>
      <c r="E417" s="2" t="s">
        <v>15</v>
      </c>
      <c r="F417" s="2" t="s">
        <v>494</v>
      </c>
      <c r="G417" s="2">
        <v>5000</v>
      </c>
      <c r="H417" s="2">
        <v>1</v>
      </c>
      <c r="I417" s="2">
        <v>0</v>
      </c>
      <c r="J417" s="2" t="s">
        <v>529</v>
      </c>
      <c r="K417" s="2">
        <v>1121.68</v>
      </c>
      <c r="L417" s="2" t="s">
        <v>496</v>
      </c>
    </row>
    <row r="418" spans="1:12" x14ac:dyDescent="0.25">
      <c r="A418" s="2" t="s">
        <v>477</v>
      </c>
      <c r="B418" s="2" t="s">
        <v>941</v>
      </c>
      <c r="C418" s="2" t="s">
        <v>13</v>
      </c>
      <c r="D418" s="2" t="s">
        <v>534</v>
      </c>
      <c r="E418" s="2" t="s">
        <v>26</v>
      </c>
      <c r="F418" s="2" t="s">
        <v>41</v>
      </c>
      <c r="G418" s="2">
        <v>15000</v>
      </c>
      <c r="H418" s="2">
        <v>1</v>
      </c>
      <c r="I418" s="2">
        <v>0.2</v>
      </c>
      <c r="J418" s="2" t="s">
        <v>589</v>
      </c>
      <c r="K418" s="2">
        <v>1761</v>
      </c>
      <c r="L418" s="2" t="s">
        <v>500</v>
      </c>
    </row>
    <row r="419" spans="1:12" x14ac:dyDescent="0.25">
      <c r="A419" s="2" t="s">
        <v>488</v>
      </c>
      <c r="B419" s="2" t="s">
        <v>942</v>
      </c>
      <c r="C419" s="2" t="s">
        <v>521</v>
      </c>
      <c r="D419" s="2" t="s">
        <v>20</v>
      </c>
      <c r="E419" s="2" t="s">
        <v>36</v>
      </c>
      <c r="F419" s="2" t="s">
        <v>43</v>
      </c>
      <c r="G419" s="2">
        <v>65000</v>
      </c>
      <c r="H419" s="2">
        <v>1</v>
      </c>
      <c r="I419" s="2">
        <v>0.1</v>
      </c>
      <c r="J419" s="2" t="s">
        <v>601</v>
      </c>
      <c r="K419" s="2">
        <v>996.37</v>
      </c>
      <c r="L419" s="2" t="s">
        <v>17</v>
      </c>
    </row>
    <row r="420" spans="1:12" x14ac:dyDescent="0.25">
      <c r="A420" s="2" t="s">
        <v>184</v>
      </c>
      <c r="B420" s="2" t="s">
        <v>943</v>
      </c>
      <c r="C420" s="2" t="s">
        <v>24</v>
      </c>
      <c r="D420" s="2" t="s">
        <v>38</v>
      </c>
      <c r="E420" s="2" t="s">
        <v>49</v>
      </c>
      <c r="F420" s="2" t="s">
        <v>43</v>
      </c>
      <c r="G420" s="2">
        <v>65000</v>
      </c>
      <c r="H420" s="2">
        <v>1</v>
      </c>
      <c r="I420" s="2">
        <v>0</v>
      </c>
      <c r="J420" s="2" t="s">
        <v>523</v>
      </c>
      <c r="K420" s="2">
        <v>0</v>
      </c>
      <c r="L420" s="2" t="s">
        <v>496</v>
      </c>
    </row>
    <row r="421" spans="1:12" x14ac:dyDescent="0.25">
      <c r="A421" s="2" t="s">
        <v>184</v>
      </c>
      <c r="B421" s="2" t="s">
        <v>943</v>
      </c>
      <c r="C421" s="2" t="s">
        <v>24</v>
      </c>
      <c r="D421" s="2" t="s">
        <v>38</v>
      </c>
      <c r="E421" s="2" t="s">
        <v>49</v>
      </c>
      <c r="F421" s="2" t="s">
        <v>43</v>
      </c>
      <c r="G421" s="2">
        <v>65000</v>
      </c>
      <c r="H421" s="2">
        <v>1</v>
      </c>
      <c r="I421" s="2">
        <v>0</v>
      </c>
      <c r="J421" s="2" t="s">
        <v>523</v>
      </c>
      <c r="K421" s="2">
        <v>0</v>
      </c>
      <c r="L421" s="2" t="s">
        <v>496</v>
      </c>
    </row>
    <row r="422" spans="1:12" x14ac:dyDescent="0.25">
      <c r="A422" s="2" t="s">
        <v>332</v>
      </c>
      <c r="B422" s="2" t="s">
        <v>944</v>
      </c>
      <c r="C422" s="2" t="s">
        <v>13</v>
      </c>
      <c r="D422" s="2" t="s">
        <v>506</v>
      </c>
      <c r="E422" s="2" t="s">
        <v>525</v>
      </c>
      <c r="F422" s="2" t="s">
        <v>22</v>
      </c>
      <c r="G422" s="2">
        <v>35000</v>
      </c>
      <c r="H422" s="2">
        <v>2</v>
      </c>
      <c r="I422" s="2">
        <v>0</v>
      </c>
      <c r="J422" s="2" t="s">
        <v>537</v>
      </c>
      <c r="K422" s="2">
        <v>0</v>
      </c>
      <c r="L422" s="2" t="s">
        <v>17</v>
      </c>
    </row>
    <row r="423" spans="1:12" x14ac:dyDescent="0.25">
      <c r="A423" s="2" t="s">
        <v>283</v>
      </c>
      <c r="B423" s="2" t="s">
        <v>596</v>
      </c>
      <c r="C423" s="2" t="s">
        <v>19</v>
      </c>
      <c r="D423" s="2" t="s">
        <v>514</v>
      </c>
      <c r="E423" s="2" t="s">
        <v>522</v>
      </c>
      <c r="F423" s="2" t="s">
        <v>494</v>
      </c>
      <c r="G423" s="2">
        <v>5000</v>
      </c>
      <c r="H423" s="2">
        <v>2</v>
      </c>
      <c r="I423" s="2">
        <v>0.15</v>
      </c>
      <c r="J423" s="2" t="s">
        <v>562</v>
      </c>
      <c r="K423" s="2">
        <v>2715.99</v>
      </c>
      <c r="L423" s="2" t="s">
        <v>496</v>
      </c>
    </row>
    <row r="424" spans="1:12" x14ac:dyDescent="0.25">
      <c r="A424" s="2" t="s">
        <v>96</v>
      </c>
      <c r="B424" s="2" t="s">
        <v>945</v>
      </c>
      <c r="C424" s="2" t="s">
        <v>521</v>
      </c>
      <c r="D424" s="2" t="s">
        <v>534</v>
      </c>
      <c r="E424" s="2" t="s">
        <v>26</v>
      </c>
      <c r="F424" s="2" t="s">
        <v>549</v>
      </c>
      <c r="G424" s="2">
        <v>8000</v>
      </c>
      <c r="H424" s="2">
        <v>2</v>
      </c>
      <c r="I424" s="2">
        <v>0.05</v>
      </c>
      <c r="J424" s="2" t="s">
        <v>946</v>
      </c>
      <c r="K424" s="2">
        <v>1941.48</v>
      </c>
      <c r="L424" s="2" t="s">
        <v>33</v>
      </c>
    </row>
    <row r="425" spans="1:12" x14ac:dyDescent="0.25">
      <c r="A425" s="2" t="s">
        <v>54</v>
      </c>
      <c r="B425" s="2" t="s">
        <v>947</v>
      </c>
      <c r="C425" s="2" t="s">
        <v>24</v>
      </c>
      <c r="D425" s="2" t="s">
        <v>38</v>
      </c>
      <c r="E425" s="2" t="s">
        <v>49</v>
      </c>
      <c r="F425" s="2" t="s">
        <v>549</v>
      </c>
      <c r="G425" s="2">
        <v>8000</v>
      </c>
      <c r="H425" s="2">
        <v>1</v>
      </c>
      <c r="I425" s="2">
        <v>0</v>
      </c>
      <c r="J425" s="2" t="s">
        <v>495</v>
      </c>
      <c r="K425" s="2">
        <v>0</v>
      </c>
      <c r="L425" s="2" t="s">
        <v>500</v>
      </c>
    </row>
    <row r="426" spans="1:12" x14ac:dyDescent="0.25">
      <c r="A426" s="2" t="s">
        <v>234</v>
      </c>
      <c r="B426" s="2" t="s">
        <v>948</v>
      </c>
      <c r="C426" s="2" t="s">
        <v>13</v>
      </c>
      <c r="D426" s="2" t="s">
        <v>35</v>
      </c>
      <c r="E426" s="2" t="s">
        <v>26</v>
      </c>
      <c r="F426" s="2" t="s">
        <v>43</v>
      </c>
      <c r="G426" s="2">
        <v>65000</v>
      </c>
      <c r="H426" s="2">
        <v>3</v>
      </c>
      <c r="I426" s="2">
        <v>0</v>
      </c>
      <c r="J426" s="2" t="s">
        <v>648</v>
      </c>
      <c r="K426" s="2">
        <v>1706.89</v>
      </c>
      <c r="L426" s="2" t="s">
        <v>33</v>
      </c>
    </row>
    <row r="427" spans="1:12" x14ac:dyDescent="0.25">
      <c r="A427" s="2" t="s">
        <v>338</v>
      </c>
      <c r="B427" s="2" t="s">
        <v>949</v>
      </c>
      <c r="C427" s="2" t="s">
        <v>65</v>
      </c>
      <c r="D427" s="2" t="s">
        <v>20</v>
      </c>
      <c r="E427" s="2" t="s">
        <v>15</v>
      </c>
      <c r="F427" s="2" t="s">
        <v>22</v>
      </c>
      <c r="G427" s="2">
        <v>35000</v>
      </c>
      <c r="H427" s="2">
        <v>1</v>
      </c>
      <c r="I427" s="2">
        <v>0</v>
      </c>
      <c r="J427" s="2" t="s">
        <v>616</v>
      </c>
      <c r="K427" s="2">
        <v>206.99</v>
      </c>
      <c r="L427" s="2" t="s">
        <v>33</v>
      </c>
    </row>
    <row r="428" spans="1:12" x14ac:dyDescent="0.25">
      <c r="A428" s="2" t="s">
        <v>236</v>
      </c>
      <c r="B428" s="2" t="s">
        <v>950</v>
      </c>
      <c r="C428" s="2" t="s">
        <v>24</v>
      </c>
      <c r="D428" s="2" t="s">
        <v>20</v>
      </c>
      <c r="E428" s="2" t="s">
        <v>39</v>
      </c>
      <c r="F428" s="2" t="s">
        <v>494</v>
      </c>
      <c r="G428" s="2">
        <v>5000</v>
      </c>
      <c r="H428" s="2">
        <v>2</v>
      </c>
      <c r="I428" s="2">
        <v>0.1</v>
      </c>
      <c r="J428" s="2" t="s">
        <v>539</v>
      </c>
      <c r="K428" s="2">
        <v>1529.97</v>
      </c>
      <c r="L428" s="2" t="s">
        <v>500</v>
      </c>
    </row>
    <row r="429" spans="1:12" x14ac:dyDescent="0.25">
      <c r="A429" s="2" t="s">
        <v>236</v>
      </c>
      <c r="B429" s="2" t="s">
        <v>950</v>
      </c>
      <c r="C429" s="2" t="s">
        <v>24</v>
      </c>
      <c r="D429" s="2" t="s">
        <v>20</v>
      </c>
      <c r="E429" s="2" t="s">
        <v>39</v>
      </c>
      <c r="F429" s="2" t="s">
        <v>494</v>
      </c>
      <c r="G429" s="2">
        <v>5000</v>
      </c>
      <c r="H429" s="2">
        <v>2</v>
      </c>
      <c r="I429" s="2">
        <v>0.1</v>
      </c>
      <c r="J429" s="2" t="s">
        <v>539</v>
      </c>
      <c r="K429" s="2">
        <v>1529.97</v>
      </c>
      <c r="L429" s="2" t="s">
        <v>500</v>
      </c>
    </row>
    <row r="430" spans="1:12" x14ac:dyDescent="0.25">
      <c r="A430" s="2" t="s">
        <v>167</v>
      </c>
      <c r="B430" s="2" t="s">
        <v>951</v>
      </c>
      <c r="C430" s="2" t="s">
        <v>521</v>
      </c>
      <c r="D430" s="2" t="s">
        <v>20</v>
      </c>
      <c r="E430" s="2" t="s">
        <v>21</v>
      </c>
      <c r="F430" s="2" t="s">
        <v>41</v>
      </c>
      <c r="G430" s="2">
        <v>15000</v>
      </c>
      <c r="H430" s="2">
        <v>1</v>
      </c>
      <c r="I430" s="2">
        <v>0.15</v>
      </c>
      <c r="J430" s="2" t="s">
        <v>502</v>
      </c>
      <c r="K430" s="2">
        <v>1009.23</v>
      </c>
      <c r="L430" s="2" t="s">
        <v>496</v>
      </c>
    </row>
    <row r="431" spans="1:12" x14ac:dyDescent="0.25">
      <c r="A431" s="2" t="s">
        <v>129</v>
      </c>
      <c r="B431" s="2" t="s">
        <v>952</v>
      </c>
      <c r="C431" s="2" t="s">
        <v>521</v>
      </c>
      <c r="D431" s="2" t="s">
        <v>38</v>
      </c>
      <c r="E431" s="2" t="s">
        <v>522</v>
      </c>
      <c r="F431" s="2" t="s">
        <v>41</v>
      </c>
      <c r="G431" s="2">
        <v>15000</v>
      </c>
      <c r="H431" s="2">
        <v>2</v>
      </c>
      <c r="I431" s="2">
        <v>0</v>
      </c>
      <c r="J431" s="2" t="s">
        <v>499</v>
      </c>
      <c r="K431" s="2">
        <v>0</v>
      </c>
      <c r="L431" s="2" t="s">
        <v>500</v>
      </c>
    </row>
    <row r="432" spans="1:12" x14ac:dyDescent="0.25">
      <c r="A432" s="2" t="s">
        <v>483</v>
      </c>
      <c r="B432" s="2" t="s">
        <v>689</v>
      </c>
      <c r="C432" s="2" t="s">
        <v>521</v>
      </c>
      <c r="D432" s="2" t="s">
        <v>32</v>
      </c>
      <c r="E432" s="2" t="s">
        <v>525</v>
      </c>
      <c r="F432" s="2" t="s">
        <v>22</v>
      </c>
      <c r="G432" s="2">
        <v>35000</v>
      </c>
      <c r="H432" s="2">
        <v>1</v>
      </c>
      <c r="I432" s="2">
        <v>0.2</v>
      </c>
      <c r="J432" s="2" t="s">
        <v>575</v>
      </c>
      <c r="K432" s="2">
        <v>3456.04</v>
      </c>
      <c r="L432" s="2" t="s">
        <v>17</v>
      </c>
    </row>
    <row r="433" spans="1:12" x14ac:dyDescent="0.25">
      <c r="A433" s="2" t="s">
        <v>261</v>
      </c>
      <c r="B433" s="2" t="s">
        <v>953</v>
      </c>
      <c r="C433" s="2" t="s">
        <v>81</v>
      </c>
      <c r="D433" s="2" t="s">
        <v>38</v>
      </c>
      <c r="E433" s="2" t="s">
        <v>522</v>
      </c>
      <c r="F433" s="2" t="s">
        <v>43</v>
      </c>
      <c r="G433" s="2">
        <v>65000</v>
      </c>
      <c r="H433" s="2">
        <v>1</v>
      </c>
      <c r="I433" s="2">
        <v>0</v>
      </c>
      <c r="J433" s="2" t="s">
        <v>523</v>
      </c>
      <c r="K433" s="2">
        <v>0</v>
      </c>
      <c r="L433" s="2" t="s">
        <v>500</v>
      </c>
    </row>
    <row r="434" spans="1:12" x14ac:dyDescent="0.25">
      <c r="A434" s="2" t="s">
        <v>261</v>
      </c>
      <c r="B434" s="2" t="s">
        <v>953</v>
      </c>
      <c r="C434" s="2" t="s">
        <v>81</v>
      </c>
      <c r="D434" s="2" t="s">
        <v>38</v>
      </c>
      <c r="E434" s="2" t="s">
        <v>522</v>
      </c>
      <c r="F434" s="2" t="s">
        <v>43</v>
      </c>
      <c r="G434" s="2">
        <v>65000</v>
      </c>
      <c r="H434" s="2">
        <v>1</v>
      </c>
      <c r="I434" s="2">
        <v>0</v>
      </c>
      <c r="J434" s="2" t="s">
        <v>523</v>
      </c>
      <c r="K434" s="2">
        <v>0</v>
      </c>
      <c r="L434" s="2" t="s">
        <v>500</v>
      </c>
    </row>
    <row r="435" spans="1:12" x14ac:dyDescent="0.25">
      <c r="A435" s="2" t="s">
        <v>55</v>
      </c>
      <c r="B435" s="2" t="s">
        <v>954</v>
      </c>
      <c r="C435" s="2" t="s">
        <v>31</v>
      </c>
      <c r="D435" s="2" t="s">
        <v>32</v>
      </c>
      <c r="E435" s="2" t="s">
        <v>15</v>
      </c>
      <c r="F435" s="2" t="s">
        <v>43</v>
      </c>
      <c r="G435" s="2">
        <v>65000</v>
      </c>
      <c r="H435" s="2">
        <v>1</v>
      </c>
      <c r="I435" s="2">
        <v>0.2</v>
      </c>
      <c r="J435" s="2" t="s">
        <v>512</v>
      </c>
      <c r="K435" s="2">
        <v>2536.6799999999998</v>
      </c>
      <c r="L435" s="2" t="s">
        <v>33</v>
      </c>
    </row>
    <row r="436" spans="1:12" x14ac:dyDescent="0.25">
      <c r="A436" s="2" t="s">
        <v>50</v>
      </c>
      <c r="B436" s="2" t="s">
        <v>955</v>
      </c>
      <c r="C436" s="2" t="s">
        <v>19</v>
      </c>
      <c r="D436" s="2" t="s">
        <v>578</v>
      </c>
      <c r="E436" s="2" t="s">
        <v>522</v>
      </c>
      <c r="F436" s="2" t="s">
        <v>494</v>
      </c>
      <c r="G436" s="2">
        <v>5000</v>
      </c>
      <c r="H436" s="2">
        <v>1</v>
      </c>
      <c r="I436" s="2">
        <v>0.05</v>
      </c>
      <c r="J436" s="2" t="s">
        <v>771</v>
      </c>
      <c r="K436" s="2">
        <v>1241.29</v>
      </c>
      <c r="L436" s="2" t="s">
        <v>496</v>
      </c>
    </row>
    <row r="437" spans="1:12" x14ac:dyDescent="0.25">
      <c r="A437" s="2" t="s">
        <v>247</v>
      </c>
      <c r="B437" s="2" t="s">
        <v>603</v>
      </c>
      <c r="C437" s="2" t="s">
        <v>13</v>
      </c>
      <c r="D437" s="2" t="s">
        <v>35</v>
      </c>
      <c r="E437" s="2" t="s">
        <v>15</v>
      </c>
      <c r="F437" s="2" t="s">
        <v>43</v>
      </c>
      <c r="G437" s="2">
        <v>65000</v>
      </c>
      <c r="H437" s="2">
        <v>2</v>
      </c>
      <c r="I437" s="2">
        <v>0.2</v>
      </c>
      <c r="J437" s="2" t="s">
        <v>802</v>
      </c>
      <c r="K437" s="2">
        <v>1701.92</v>
      </c>
      <c r="L437" s="2" t="s">
        <v>33</v>
      </c>
    </row>
    <row r="438" spans="1:12" x14ac:dyDescent="0.25">
      <c r="A438" s="2" t="s">
        <v>352</v>
      </c>
      <c r="B438" s="2" t="s">
        <v>956</v>
      </c>
      <c r="C438" s="2" t="s">
        <v>81</v>
      </c>
      <c r="D438" s="2" t="s">
        <v>20</v>
      </c>
      <c r="E438" s="2" t="s">
        <v>522</v>
      </c>
      <c r="F438" s="2" t="s">
        <v>494</v>
      </c>
      <c r="G438" s="2">
        <v>5000</v>
      </c>
      <c r="H438" s="2">
        <v>3</v>
      </c>
      <c r="I438" s="2">
        <v>0.1</v>
      </c>
      <c r="J438" s="2" t="s">
        <v>541</v>
      </c>
      <c r="K438" s="2">
        <v>3124.15</v>
      </c>
      <c r="L438" s="2" t="s">
        <v>17</v>
      </c>
    </row>
    <row r="439" spans="1:12" x14ac:dyDescent="0.25">
      <c r="A439" s="2" t="s">
        <v>231</v>
      </c>
      <c r="B439" s="2" t="s">
        <v>957</v>
      </c>
      <c r="C439" s="2" t="s">
        <v>521</v>
      </c>
      <c r="D439" s="2" t="s">
        <v>35</v>
      </c>
      <c r="E439" s="2" t="s">
        <v>525</v>
      </c>
      <c r="F439" s="2" t="s">
        <v>22</v>
      </c>
      <c r="G439" s="2">
        <v>35000</v>
      </c>
      <c r="H439" s="2">
        <v>3</v>
      </c>
      <c r="I439" s="2">
        <v>0.1</v>
      </c>
      <c r="J439" s="2" t="s">
        <v>665</v>
      </c>
      <c r="K439" s="2">
        <v>1635.86</v>
      </c>
      <c r="L439" s="2" t="s">
        <v>500</v>
      </c>
    </row>
    <row r="440" spans="1:12" x14ac:dyDescent="0.25">
      <c r="A440" s="2" t="s">
        <v>311</v>
      </c>
      <c r="B440" s="2" t="s">
        <v>958</v>
      </c>
      <c r="C440" s="2" t="s">
        <v>24</v>
      </c>
      <c r="D440" s="2" t="s">
        <v>35</v>
      </c>
      <c r="E440" s="2" t="s">
        <v>36</v>
      </c>
      <c r="F440" s="2" t="s">
        <v>549</v>
      </c>
      <c r="G440" s="2">
        <v>8000</v>
      </c>
      <c r="H440" s="2">
        <v>1</v>
      </c>
      <c r="I440" s="2">
        <v>0.1</v>
      </c>
      <c r="J440" s="2" t="s">
        <v>668</v>
      </c>
      <c r="K440" s="2">
        <v>2058.81</v>
      </c>
      <c r="L440" s="2" t="s">
        <v>33</v>
      </c>
    </row>
    <row r="441" spans="1:12" x14ac:dyDescent="0.25">
      <c r="A441" s="2" t="s">
        <v>296</v>
      </c>
      <c r="B441" s="2" t="s">
        <v>959</v>
      </c>
      <c r="C441" s="2" t="s">
        <v>19</v>
      </c>
      <c r="D441" s="2" t="s">
        <v>32</v>
      </c>
      <c r="E441" s="2" t="s">
        <v>15</v>
      </c>
      <c r="F441" s="2" t="s">
        <v>43</v>
      </c>
      <c r="G441" s="2">
        <v>65000</v>
      </c>
      <c r="H441" s="2">
        <v>2</v>
      </c>
      <c r="I441" s="2">
        <v>0</v>
      </c>
      <c r="J441" s="2" t="s">
        <v>560</v>
      </c>
      <c r="K441" s="2">
        <v>2224.63</v>
      </c>
      <c r="L441" s="2" t="s">
        <v>33</v>
      </c>
    </row>
    <row r="442" spans="1:12" x14ac:dyDescent="0.25">
      <c r="A442" s="2" t="s">
        <v>271</v>
      </c>
      <c r="B442" s="2" t="s">
        <v>960</v>
      </c>
      <c r="C442" s="2" t="s">
        <v>24</v>
      </c>
      <c r="D442" s="2" t="s">
        <v>35</v>
      </c>
      <c r="E442" s="2" t="s">
        <v>26</v>
      </c>
      <c r="F442" s="2" t="s">
        <v>22</v>
      </c>
      <c r="G442" s="2">
        <v>35000</v>
      </c>
      <c r="H442" s="2">
        <v>3</v>
      </c>
      <c r="I442" s="2">
        <v>0.05</v>
      </c>
      <c r="J442" s="2" t="s">
        <v>627</v>
      </c>
      <c r="K442" s="2">
        <v>1843.89</v>
      </c>
      <c r="L442" s="2" t="s">
        <v>17</v>
      </c>
    </row>
    <row r="443" spans="1:12" x14ac:dyDescent="0.25">
      <c r="A443" s="2" t="s">
        <v>420</v>
      </c>
      <c r="B443" s="2" t="s">
        <v>961</v>
      </c>
      <c r="C443" s="2" t="s">
        <v>19</v>
      </c>
      <c r="D443" s="2" t="s">
        <v>506</v>
      </c>
      <c r="E443" s="2" t="s">
        <v>36</v>
      </c>
      <c r="F443" s="2" t="s">
        <v>41</v>
      </c>
      <c r="G443" s="2">
        <v>15000</v>
      </c>
      <c r="H443" s="2">
        <v>2</v>
      </c>
      <c r="I443" s="2">
        <v>0.15</v>
      </c>
      <c r="J443" s="2" t="s">
        <v>642</v>
      </c>
      <c r="K443" s="2">
        <v>0</v>
      </c>
      <c r="L443" s="2" t="s">
        <v>500</v>
      </c>
    </row>
    <row r="444" spans="1:12" x14ac:dyDescent="0.25">
      <c r="A444" s="2" t="s">
        <v>61</v>
      </c>
      <c r="B444" s="2" t="s">
        <v>818</v>
      </c>
      <c r="C444" s="2" t="s">
        <v>521</v>
      </c>
      <c r="D444" s="2" t="s">
        <v>506</v>
      </c>
      <c r="E444" s="2" t="s">
        <v>522</v>
      </c>
      <c r="F444" s="2" t="s">
        <v>43</v>
      </c>
      <c r="G444" s="2">
        <v>65000</v>
      </c>
      <c r="H444" s="2">
        <v>1</v>
      </c>
      <c r="I444" s="2">
        <v>0.15</v>
      </c>
      <c r="J444" s="2" t="s">
        <v>564</v>
      </c>
      <c r="K444" s="2">
        <v>0</v>
      </c>
      <c r="L444" s="2" t="s">
        <v>496</v>
      </c>
    </row>
    <row r="445" spans="1:12" x14ac:dyDescent="0.25">
      <c r="A445" s="2" t="s">
        <v>144</v>
      </c>
      <c r="B445" s="2" t="s">
        <v>962</v>
      </c>
      <c r="C445" s="2" t="s">
        <v>24</v>
      </c>
      <c r="D445" s="2" t="s">
        <v>506</v>
      </c>
      <c r="E445" s="2" t="s">
        <v>26</v>
      </c>
      <c r="F445" s="2" t="s">
        <v>22</v>
      </c>
      <c r="G445" s="2">
        <v>35000</v>
      </c>
      <c r="H445" s="2">
        <v>2</v>
      </c>
      <c r="I445" s="2">
        <v>0</v>
      </c>
      <c r="J445" s="2" t="s">
        <v>537</v>
      </c>
      <c r="K445" s="2">
        <v>0</v>
      </c>
      <c r="L445" s="2" t="s">
        <v>17</v>
      </c>
    </row>
    <row r="446" spans="1:12" x14ac:dyDescent="0.25">
      <c r="A446" s="2" t="s">
        <v>30</v>
      </c>
      <c r="B446" s="2" t="s">
        <v>963</v>
      </c>
      <c r="C446" s="2" t="s">
        <v>31</v>
      </c>
      <c r="D446" s="2" t="s">
        <v>32</v>
      </c>
      <c r="E446" s="2" t="s">
        <v>21</v>
      </c>
      <c r="F446" s="2" t="s">
        <v>549</v>
      </c>
      <c r="G446" s="2">
        <v>8000</v>
      </c>
      <c r="H446" s="2">
        <v>2</v>
      </c>
      <c r="I446" s="2">
        <v>0</v>
      </c>
      <c r="J446" s="2" t="s">
        <v>550</v>
      </c>
      <c r="K446" s="2">
        <v>3244.11</v>
      </c>
      <c r="L446" s="2" t="s">
        <v>33</v>
      </c>
    </row>
    <row r="447" spans="1:12" x14ac:dyDescent="0.25">
      <c r="A447" s="2" t="s">
        <v>201</v>
      </c>
      <c r="B447" s="2" t="s">
        <v>964</v>
      </c>
      <c r="C447" s="2" t="s">
        <v>521</v>
      </c>
      <c r="D447" s="2" t="s">
        <v>32</v>
      </c>
      <c r="E447" s="2" t="s">
        <v>15</v>
      </c>
      <c r="F447" s="2" t="s">
        <v>494</v>
      </c>
      <c r="G447" s="2">
        <v>5000</v>
      </c>
      <c r="H447" s="2">
        <v>3</v>
      </c>
      <c r="I447" s="2">
        <v>0</v>
      </c>
      <c r="J447" s="2" t="s">
        <v>526</v>
      </c>
      <c r="K447" s="2">
        <v>2199.29</v>
      </c>
      <c r="L447" s="2" t="s">
        <v>33</v>
      </c>
    </row>
    <row r="448" spans="1:12" x14ac:dyDescent="0.25">
      <c r="A448" s="2" t="s">
        <v>340</v>
      </c>
      <c r="B448" s="2" t="s">
        <v>965</v>
      </c>
      <c r="C448" s="2" t="s">
        <v>13</v>
      </c>
      <c r="D448" s="2" t="s">
        <v>534</v>
      </c>
      <c r="E448" s="2" t="s">
        <v>36</v>
      </c>
      <c r="F448" s="2" t="s">
        <v>549</v>
      </c>
      <c r="G448" s="2">
        <v>8000</v>
      </c>
      <c r="H448" s="2">
        <v>1</v>
      </c>
      <c r="I448" s="2">
        <v>0</v>
      </c>
      <c r="J448" s="2" t="s">
        <v>495</v>
      </c>
      <c r="K448" s="2">
        <v>1627.57</v>
      </c>
      <c r="L448" s="2" t="s">
        <v>17</v>
      </c>
    </row>
    <row r="449" spans="1:12" x14ac:dyDescent="0.25">
      <c r="A449" s="2" t="s">
        <v>100</v>
      </c>
      <c r="B449" s="2" t="s">
        <v>966</v>
      </c>
      <c r="C449" s="2" t="s">
        <v>13</v>
      </c>
      <c r="D449" s="2" t="s">
        <v>506</v>
      </c>
      <c r="E449" s="2"/>
      <c r="F449" s="2" t="s">
        <v>43</v>
      </c>
      <c r="G449" s="2">
        <v>65000</v>
      </c>
      <c r="H449" s="2">
        <v>2</v>
      </c>
      <c r="I449" s="2">
        <v>0.15</v>
      </c>
      <c r="J449" s="2" t="s">
        <v>579</v>
      </c>
      <c r="K449" s="2">
        <v>0</v>
      </c>
      <c r="L449" s="2" t="s">
        <v>500</v>
      </c>
    </row>
    <row r="450" spans="1:12" x14ac:dyDescent="0.25">
      <c r="A450" s="2" t="s">
        <v>335</v>
      </c>
      <c r="B450" s="2" t="s">
        <v>967</v>
      </c>
      <c r="C450" s="2" t="s">
        <v>13</v>
      </c>
      <c r="D450" s="2" t="s">
        <v>506</v>
      </c>
      <c r="E450" s="2" t="s">
        <v>21</v>
      </c>
      <c r="F450" s="2" t="s">
        <v>494</v>
      </c>
      <c r="G450" s="2">
        <v>5000</v>
      </c>
      <c r="H450" s="2">
        <v>3</v>
      </c>
      <c r="I450" s="2">
        <v>0</v>
      </c>
      <c r="J450" s="2" t="s">
        <v>526</v>
      </c>
      <c r="K450" s="2">
        <v>0</v>
      </c>
      <c r="L450" s="2" t="s">
        <v>17</v>
      </c>
    </row>
    <row r="451" spans="1:12" x14ac:dyDescent="0.25">
      <c r="A451" s="2" t="s">
        <v>370</v>
      </c>
      <c r="B451" s="2" t="s">
        <v>591</v>
      </c>
      <c r="C451" s="2" t="s">
        <v>24</v>
      </c>
      <c r="D451" s="2" t="s">
        <v>534</v>
      </c>
      <c r="E451" s="2" t="s">
        <v>522</v>
      </c>
      <c r="F451" s="2" t="s">
        <v>549</v>
      </c>
      <c r="G451" s="2">
        <v>8000</v>
      </c>
      <c r="H451" s="2">
        <v>1</v>
      </c>
      <c r="I451" s="2">
        <v>0.05</v>
      </c>
      <c r="J451" s="2" t="s">
        <v>720</v>
      </c>
      <c r="K451" s="2">
        <v>690.39</v>
      </c>
      <c r="L451" s="2" t="s">
        <v>17</v>
      </c>
    </row>
    <row r="452" spans="1:12" x14ac:dyDescent="0.25">
      <c r="A452" s="2" t="s">
        <v>186</v>
      </c>
      <c r="B452" s="2" t="s">
        <v>968</v>
      </c>
      <c r="C452" s="2" t="s">
        <v>24</v>
      </c>
      <c r="D452" s="2" t="s">
        <v>506</v>
      </c>
      <c r="E452" s="2" t="s">
        <v>15</v>
      </c>
      <c r="F452" s="2" t="s">
        <v>22</v>
      </c>
      <c r="G452" s="2">
        <v>35000</v>
      </c>
      <c r="H452" s="2">
        <v>1</v>
      </c>
      <c r="I452" s="2">
        <v>0</v>
      </c>
      <c r="J452" s="2" t="s">
        <v>616</v>
      </c>
      <c r="K452" s="2">
        <v>0</v>
      </c>
      <c r="L452" s="2" t="s">
        <v>500</v>
      </c>
    </row>
    <row r="453" spans="1:12" x14ac:dyDescent="0.25">
      <c r="A453" s="2" t="s">
        <v>469</v>
      </c>
      <c r="B453" s="2" t="s">
        <v>969</v>
      </c>
      <c r="C453" s="2" t="s">
        <v>31</v>
      </c>
      <c r="D453" s="2" t="s">
        <v>534</v>
      </c>
      <c r="E453" s="2" t="s">
        <v>26</v>
      </c>
      <c r="F453" s="2" t="s">
        <v>43</v>
      </c>
      <c r="G453" s="2">
        <v>65000</v>
      </c>
      <c r="H453" s="2">
        <v>1</v>
      </c>
      <c r="I453" s="2">
        <v>0.05</v>
      </c>
      <c r="J453" s="2" t="s">
        <v>652</v>
      </c>
      <c r="K453" s="2">
        <v>2494.77</v>
      </c>
      <c r="L453" s="2" t="s">
        <v>17</v>
      </c>
    </row>
    <row r="454" spans="1:12" x14ac:dyDescent="0.25">
      <c r="A454" s="2" t="s">
        <v>108</v>
      </c>
      <c r="B454" s="2" t="s">
        <v>970</v>
      </c>
      <c r="C454" s="2" t="s">
        <v>31</v>
      </c>
      <c r="D454" s="2" t="s">
        <v>534</v>
      </c>
      <c r="E454" s="2" t="s">
        <v>36</v>
      </c>
      <c r="F454" s="2" t="s">
        <v>22</v>
      </c>
      <c r="G454" s="2">
        <v>35000</v>
      </c>
      <c r="H454" s="2">
        <v>2</v>
      </c>
      <c r="I454" s="2">
        <v>0.15</v>
      </c>
      <c r="J454" s="2"/>
      <c r="K454" s="2">
        <v>2507.66</v>
      </c>
      <c r="L454" s="2" t="s">
        <v>17</v>
      </c>
    </row>
    <row r="455" spans="1:12" x14ac:dyDescent="0.25">
      <c r="A455" s="2" t="s">
        <v>392</v>
      </c>
      <c r="B455" s="2" t="s">
        <v>971</v>
      </c>
      <c r="C455" s="2" t="s">
        <v>65</v>
      </c>
      <c r="D455" s="2"/>
      <c r="E455" s="2" t="s">
        <v>49</v>
      </c>
      <c r="F455" s="2" t="s">
        <v>43</v>
      </c>
      <c r="G455" s="2">
        <v>65000</v>
      </c>
      <c r="H455" s="2">
        <v>1</v>
      </c>
      <c r="I455" s="2">
        <v>0.05</v>
      </c>
      <c r="J455" s="2" t="s">
        <v>652</v>
      </c>
      <c r="K455" s="2">
        <v>2210.65</v>
      </c>
      <c r="L455" s="2" t="s">
        <v>17</v>
      </c>
    </row>
    <row r="456" spans="1:12" x14ac:dyDescent="0.25">
      <c r="A456" s="2" t="s">
        <v>93</v>
      </c>
      <c r="B456" s="2" t="s">
        <v>972</v>
      </c>
      <c r="C456" s="2" t="s">
        <v>13</v>
      </c>
      <c r="D456" s="2" t="s">
        <v>32</v>
      </c>
      <c r="E456" s="2" t="s">
        <v>21</v>
      </c>
      <c r="F456" s="2" t="s">
        <v>549</v>
      </c>
      <c r="G456" s="2">
        <v>8000</v>
      </c>
      <c r="H456" s="2">
        <v>2</v>
      </c>
      <c r="I456" s="2">
        <v>0</v>
      </c>
      <c r="J456" s="2" t="s">
        <v>550</v>
      </c>
      <c r="K456" s="2">
        <v>2336.48</v>
      </c>
      <c r="L456" s="2" t="s">
        <v>17</v>
      </c>
    </row>
    <row r="457" spans="1:12" x14ac:dyDescent="0.25">
      <c r="A457" s="2" t="s">
        <v>18</v>
      </c>
      <c r="B457" s="2" t="s">
        <v>973</v>
      </c>
      <c r="C457" s="2" t="s">
        <v>511</v>
      </c>
      <c r="D457" s="2" t="s">
        <v>20</v>
      </c>
      <c r="E457" s="2" t="s">
        <v>21</v>
      </c>
      <c r="F457" s="2" t="s">
        <v>22</v>
      </c>
      <c r="G457" s="2">
        <v>35000</v>
      </c>
      <c r="H457" s="2">
        <v>1</v>
      </c>
      <c r="I457" s="2">
        <v>0.1</v>
      </c>
      <c r="J457" s="2" t="s">
        <v>623</v>
      </c>
      <c r="K457" s="2">
        <v>1761.29</v>
      </c>
      <c r="L457" s="2" t="s">
        <v>496</v>
      </c>
    </row>
    <row r="458" spans="1:12" x14ac:dyDescent="0.25">
      <c r="A458" s="2" t="s">
        <v>58</v>
      </c>
      <c r="B458" s="2" t="s">
        <v>974</v>
      </c>
      <c r="C458" s="2" t="s">
        <v>24</v>
      </c>
      <c r="D458" s="2" t="s">
        <v>32</v>
      </c>
      <c r="E458" s="2" t="s">
        <v>36</v>
      </c>
      <c r="F458" s="2" t="s">
        <v>43</v>
      </c>
      <c r="G458" s="2">
        <v>65000</v>
      </c>
      <c r="H458" s="2">
        <v>1</v>
      </c>
      <c r="I458" s="2">
        <v>0.05</v>
      </c>
      <c r="J458" s="2" t="s">
        <v>652</v>
      </c>
      <c r="K458" s="2">
        <v>395.08</v>
      </c>
      <c r="L458" s="2" t="s">
        <v>33</v>
      </c>
    </row>
    <row r="459" spans="1:12" x14ac:dyDescent="0.25">
      <c r="A459" s="2" t="s">
        <v>475</v>
      </c>
      <c r="B459" s="2" t="s">
        <v>540</v>
      </c>
      <c r="C459" s="2" t="s">
        <v>13</v>
      </c>
      <c r="D459" s="2" t="s">
        <v>35</v>
      </c>
      <c r="E459" s="2"/>
      <c r="F459" s="2" t="s">
        <v>549</v>
      </c>
      <c r="G459" s="2">
        <v>8000</v>
      </c>
      <c r="H459" s="2">
        <v>2</v>
      </c>
      <c r="I459" s="2">
        <v>0</v>
      </c>
      <c r="J459" s="2" t="s">
        <v>550</v>
      </c>
      <c r="K459" s="2">
        <v>1269.3900000000001</v>
      </c>
      <c r="L459" s="2" t="s">
        <v>496</v>
      </c>
    </row>
    <row r="460" spans="1:12" x14ac:dyDescent="0.25">
      <c r="A460" s="2" t="s">
        <v>396</v>
      </c>
      <c r="B460" s="2" t="s">
        <v>975</v>
      </c>
      <c r="C460" s="2" t="s">
        <v>31</v>
      </c>
      <c r="D460" s="2" t="s">
        <v>32</v>
      </c>
      <c r="E460" s="2" t="s">
        <v>522</v>
      </c>
      <c r="F460" s="2" t="s">
        <v>549</v>
      </c>
      <c r="G460" s="2">
        <v>8000</v>
      </c>
      <c r="H460" s="2">
        <v>2</v>
      </c>
      <c r="I460" s="2">
        <v>0.2</v>
      </c>
      <c r="J460" s="2" t="s">
        <v>690</v>
      </c>
      <c r="K460" s="2">
        <v>406.74</v>
      </c>
      <c r="L460" s="2" t="s">
        <v>17</v>
      </c>
    </row>
    <row r="461" spans="1:12" x14ac:dyDescent="0.25">
      <c r="A461" s="2" t="s">
        <v>95</v>
      </c>
      <c r="B461" s="2" t="s">
        <v>556</v>
      </c>
      <c r="C461" s="2"/>
      <c r="D461" s="2" t="s">
        <v>32</v>
      </c>
      <c r="E461" s="2" t="s">
        <v>49</v>
      </c>
      <c r="F461" s="2" t="s">
        <v>549</v>
      </c>
      <c r="G461" s="2">
        <v>8000</v>
      </c>
      <c r="H461" s="2">
        <v>1</v>
      </c>
      <c r="I461" s="2">
        <v>0.1</v>
      </c>
      <c r="J461" s="2" t="s">
        <v>668</v>
      </c>
      <c r="K461" s="2">
        <v>344.49</v>
      </c>
      <c r="L461" s="2" t="s">
        <v>33</v>
      </c>
    </row>
    <row r="462" spans="1:12" x14ac:dyDescent="0.25">
      <c r="A462" s="2" t="s">
        <v>374</v>
      </c>
      <c r="B462" s="2" t="s">
        <v>976</v>
      </c>
      <c r="C462" s="2" t="s">
        <v>13</v>
      </c>
      <c r="D462" s="2" t="s">
        <v>35</v>
      </c>
      <c r="E462" s="2" t="s">
        <v>26</v>
      </c>
      <c r="F462" s="2" t="s">
        <v>494</v>
      </c>
      <c r="G462" s="2">
        <v>5000</v>
      </c>
      <c r="H462" s="2">
        <v>1</v>
      </c>
      <c r="I462" s="2">
        <v>0</v>
      </c>
      <c r="J462" s="2" t="s">
        <v>529</v>
      </c>
      <c r="K462" s="2">
        <v>1374.38</v>
      </c>
      <c r="L462" s="2" t="s">
        <v>17</v>
      </c>
    </row>
    <row r="463" spans="1:12" x14ac:dyDescent="0.25">
      <c r="A463" s="2" t="s">
        <v>74</v>
      </c>
      <c r="B463" s="2" t="s">
        <v>977</v>
      </c>
      <c r="C463" s="2" t="s">
        <v>31</v>
      </c>
      <c r="D463" s="2" t="s">
        <v>534</v>
      </c>
      <c r="E463" s="2" t="s">
        <v>26</v>
      </c>
      <c r="F463" s="2" t="s">
        <v>43</v>
      </c>
      <c r="G463" s="2">
        <v>65000</v>
      </c>
      <c r="H463" s="2">
        <v>1</v>
      </c>
      <c r="I463" s="2">
        <v>0</v>
      </c>
      <c r="J463" s="2" t="s">
        <v>523</v>
      </c>
      <c r="K463" s="2">
        <v>253.56</v>
      </c>
      <c r="L463" s="2" t="s">
        <v>17</v>
      </c>
    </row>
    <row r="464" spans="1:12" x14ac:dyDescent="0.25">
      <c r="A464" s="2" t="s">
        <v>327</v>
      </c>
      <c r="B464" s="2" t="s">
        <v>691</v>
      </c>
      <c r="C464" s="2" t="s">
        <v>511</v>
      </c>
      <c r="D464" s="2" t="s">
        <v>28</v>
      </c>
      <c r="E464" s="2" t="s">
        <v>21</v>
      </c>
      <c r="F464" s="2" t="s">
        <v>43</v>
      </c>
      <c r="G464" s="2">
        <v>65000</v>
      </c>
      <c r="H464" s="2">
        <v>1</v>
      </c>
      <c r="I464" s="2">
        <v>0</v>
      </c>
      <c r="J464" s="2" t="s">
        <v>523</v>
      </c>
      <c r="K464" s="2">
        <v>0</v>
      </c>
      <c r="L464" s="2" t="s">
        <v>17</v>
      </c>
    </row>
    <row r="465" spans="1:12" x14ac:dyDescent="0.25">
      <c r="A465" s="2" t="s">
        <v>312</v>
      </c>
      <c r="B465" s="2" t="s">
        <v>978</v>
      </c>
      <c r="C465" s="2" t="s">
        <v>24</v>
      </c>
      <c r="D465" s="2" t="s">
        <v>514</v>
      </c>
      <c r="E465" s="2" t="s">
        <v>525</v>
      </c>
      <c r="F465" s="2" t="s">
        <v>43</v>
      </c>
      <c r="G465" s="2">
        <v>65000</v>
      </c>
      <c r="H465" s="2">
        <v>2</v>
      </c>
      <c r="I465" s="2">
        <v>0.2</v>
      </c>
      <c r="J465" s="2" t="s">
        <v>802</v>
      </c>
      <c r="K465" s="2">
        <v>2484.86</v>
      </c>
      <c r="L465" s="2" t="s">
        <v>496</v>
      </c>
    </row>
    <row r="466" spans="1:12" x14ac:dyDescent="0.25">
      <c r="A466" s="2" t="s">
        <v>416</v>
      </c>
      <c r="B466" s="2" t="s">
        <v>979</v>
      </c>
      <c r="C466" s="2" t="s">
        <v>521</v>
      </c>
      <c r="D466" s="2" t="s">
        <v>35</v>
      </c>
      <c r="E466" s="2"/>
      <c r="F466" s="2" t="s">
        <v>494</v>
      </c>
      <c r="G466" s="2">
        <v>5000</v>
      </c>
      <c r="H466" s="2">
        <v>1</v>
      </c>
      <c r="I466" s="2">
        <v>0.1</v>
      </c>
      <c r="J466" s="2" t="s">
        <v>567</v>
      </c>
      <c r="K466" s="2">
        <v>1746.4</v>
      </c>
      <c r="L466" s="2" t="s">
        <v>496</v>
      </c>
    </row>
    <row r="467" spans="1:12" x14ac:dyDescent="0.25">
      <c r="A467" s="2" t="s">
        <v>86</v>
      </c>
      <c r="B467" s="2" t="s">
        <v>980</v>
      </c>
      <c r="C467" s="2" t="s">
        <v>81</v>
      </c>
      <c r="D467" s="2" t="s">
        <v>506</v>
      </c>
      <c r="E467" s="2" t="s">
        <v>49</v>
      </c>
      <c r="F467" s="2" t="s">
        <v>43</v>
      </c>
      <c r="G467" s="2">
        <v>65000</v>
      </c>
      <c r="H467" s="2">
        <v>1</v>
      </c>
      <c r="I467" s="2">
        <v>0</v>
      </c>
      <c r="J467" s="2" t="s">
        <v>523</v>
      </c>
      <c r="K467" s="2">
        <v>0</v>
      </c>
      <c r="L467" s="2" t="s">
        <v>33</v>
      </c>
    </row>
    <row r="468" spans="1:12" x14ac:dyDescent="0.25">
      <c r="A468" s="2" t="s">
        <v>484</v>
      </c>
      <c r="B468" s="2" t="s">
        <v>981</v>
      </c>
      <c r="C468" s="2" t="s">
        <v>31</v>
      </c>
      <c r="D468" s="2" t="s">
        <v>32</v>
      </c>
      <c r="E468" s="2" t="s">
        <v>39</v>
      </c>
      <c r="F468" s="2" t="s">
        <v>549</v>
      </c>
      <c r="G468" s="2">
        <v>8000</v>
      </c>
      <c r="H468" s="2">
        <v>2</v>
      </c>
      <c r="I468" s="2">
        <v>0</v>
      </c>
      <c r="J468" s="2" t="s">
        <v>550</v>
      </c>
      <c r="K468" s="2">
        <v>1412.72</v>
      </c>
      <c r="L468" s="2" t="s">
        <v>496</v>
      </c>
    </row>
    <row r="469" spans="1:12" x14ac:dyDescent="0.25">
      <c r="A469" s="2" t="s">
        <v>185</v>
      </c>
      <c r="B469" s="2" t="s">
        <v>884</v>
      </c>
      <c r="C469" s="2" t="s">
        <v>24</v>
      </c>
      <c r="D469" s="2" t="s">
        <v>38</v>
      </c>
      <c r="E469" s="2" t="s">
        <v>39</v>
      </c>
      <c r="F469" s="2" t="s">
        <v>494</v>
      </c>
      <c r="G469" s="2">
        <v>5000</v>
      </c>
      <c r="H469" s="2">
        <v>1</v>
      </c>
      <c r="I469" s="2">
        <v>0.05</v>
      </c>
      <c r="J469" s="2" t="s">
        <v>771</v>
      </c>
      <c r="K469" s="2">
        <v>0</v>
      </c>
      <c r="L469" s="2" t="s">
        <v>496</v>
      </c>
    </row>
    <row r="470" spans="1:12" x14ac:dyDescent="0.25">
      <c r="A470" s="2" t="s">
        <v>399</v>
      </c>
      <c r="B470" s="2" t="s">
        <v>982</v>
      </c>
      <c r="C470" s="2" t="s">
        <v>19</v>
      </c>
      <c r="D470" s="2" t="s">
        <v>35</v>
      </c>
      <c r="E470" s="2" t="s">
        <v>36</v>
      </c>
      <c r="F470" s="2" t="s">
        <v>41</v>
      </c>
      <c r="G470" s="2">
        <v>15000</v>
      </c>
      <c r="H470" s="2">
        <v>1</v>
      </c>
      <c r="I470" s="2">
        <v>0.1</v>
      </c>
      <c r="J470" s="2" t="s">
        <v>541</v>
      </c>
      <c r="K470" s="2">
        <v>1993.58</v>
      </c>
      <c r="L470" s="2" t="s">
        <v>496</v>
      </c>
    </row>
    <row r="471" spans="1:12" x14ac:dyDescent="0.25">
      <c r="A471" s="2" t="s">
        <v>448</v>
      </c>
      <c r="B471" s="2" t="s">
        <v>983</v>
      </c>
      <c r="C471" s="2" t="s">
        <v>65</v>
      </c>
      <c r="D471" s="2" t="s">
        <v>534</v>
      </c>
      <c r="E471" s="2" t="s">
        <v>36</v>
      </c>
      <c r="F471" s="2" t="s">
        <v>41</v>
      </c>
      <c r="G471" s="2">
        <v>15000</v>
      </c>
      <c r="H471" s="2">
        <v>1</v>
      </c>
      <c r="I471" s="2">
        <v>0.1</v>
      </c>
      <c r="J471" s="2" t="s">
        <v>541</v>
      </c>
      <c r="K471" s="2">
        <v>3468.15</v>
      </c>
      <c r="L471" s="2" t="s">
        <v>17</v>
      </c>
    </row>
  </sheetData>
  <autoFilter ref="A1:L471" xr:uid="{00000000-0009-0000-0000-000000000000}">
    <sortState xmlns:xlrd2="http://schemas.microsoft.com/office/spreadsheetml/2017/richdata2" ref="A2:L471">
      <sortCondition ref="A1:A47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1"/>
  <sheetViews>
    <sheetView topLeftCell="C433" workbookViewId="0">
      <selection sqref="A1:M1048576"/>
    </sheetView>
  </sheetViews>
  <sheetFormatPr defaultRowHeight="15" x14ac:dyDescent="0.25"/>
  <cols>
    <col min="1" max="2" width="13.85546875" customWidth="1"/>
    <col min="3" max="3" width="14.85546875" customWidth="1"/>
    <col min="4" max="4" width="18.42578125" customWidth="1"/>
    <col min="5" max="5" width="22" customWidth="1"/>
    <col min="6" max="6" width="20.28515625" customWidth="1"/>
    <col min="7" max="7" width="19.5703125" customWidth="1"/>
    <col min="8" max="8" width="11.5703125" bestFit="1" customWidth="1"/>
    <col min="9" max="9" width="11" bestFit="1" customWidth="1"/>
    <col min="10" max="10" width="13.7109375" bestFit="1" customWidth="1"/>
    <col min="11" max="11" width="11.140625" bestFit="1" customWidth="1"/>
    <col min="12" max="12" width="20.85546875" bestFit="1" customWidth="1"/>
    <col min="13" max="13" width="16.28515625" bestFit="1" customWidth="1"/>
  </cols>
  <sheetData>
    <row r="1" spans="1:13" x14ac:dyDescent="0.25">
      <c r="A1" t="s">
        <v>0</v>
      </c>
      <c r="B1" t="s">
        <v>993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3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74</v>
      </c>
      <c r="B2">
        <f t="shared" ref="B2:B65" si="0">COUNTIF($A:$A,A2)</f>
        <v>1</v>
      </c>
      <c r="C2" s="5">
        <v>45661</v>
      </c>
      <c r="D2" t="s">
        <v>31</v>
      </c>
      <c r="E2" t="s">
        <v>25</v>
      </c>
      <c r="F2" t="s">
        <v>26</v>
      </c>
      <c r="G2" t="s">
        <v>43</v>
      </c>
      <c r="H2" s="4">
        <v>65000</v>
      </c>
      <c r="I2">
        <v>1</v>
      </c>
      <c r="J2">
        <v>0</v>
      </c>
      <c r="K2">
        <v>65000</v>
      </c>
      <c r="L2">
        <v>253.56</v>
      </c>
      <c r="M2" t="s">
        <v>17</v>
      </c>
    </row>
    <row r="3" spans="1:13" x14ac:dyDescent="0.25">
      <c r="A3" t="s">
        <v>45</v>
      </c>
      <c r="B3">
        <f t="shared" si="0"/>
        <v>1</v>
      </c>
      <c r="C3" s="5">
        <v>45663</v>
      </c>
      <c r="D3" t="s">
        <v>19</v>
      </c>
      <c r="E3" t="s">
        <v>20</v>
      </c>
      <c r="F3" t="s">
        <v>26</v>
      </c>
      <c r="G3" t="s">
        <v>41</v>
      </c>
      <c r="H3" s="4">
        <v>15000</v>
      </c>
      <c r="I3">
        <v>2</v>
      </c>
      <c r="J3">
        <v>0</v>
      </c>
      <c r="K3">
        <v>30000</v>
      </c>
      <c r="L3">
        <v>1995.19</v>
      </c>
      <c r="M3" t="s">
        <v>17</v>
      </c>
    </row>
    <row r="4" spans="1:13" x14ac:dyDescent="0.25">
      <c r="A4" t="s">
        <v>190</v>
      </c>
      <c r="B4">
        <f t="shared" si="0"/>
        <v>1</v>
      </c>
      <c r="C4" s="5">
        <v>45668</v>
      </c>
      <c r="D4" t="s">
        <v>19</v>
      </c>
      <c r="E4" t="s">
        <v>32</v>
      </c>
      <c r="F4" t="s">
        <v>49</v>
      </c>
      <c r="G4" t="s">
        <v>29</v>
      </c>
      <c r="H4" s="4">
        <v>8000</v>
      </c>
      <c r="I4">
        <v>1</v>
      </c>
      <c r="J4">
        <v>0</v>
      </c>
      <c r="K4">
        <v>8000</v>
      </c>
      <c r="L4">
        <v>3317.43</v>
      </c>
      <c r="M4" t="s">
        <v>33</v>
      </c>
    </row>
    <row r="5" spans="1:13" x14ac:dyDescent="0.25">
      <c r="A5" t="s">
        <v>89</v>
      </c>
      <c r="B5">
        <f t="shared" si="0"/>
        <v>1</v>
      </c>
      <c r="C5" s="5">
        <v>45669</v>
      </c>
      <c r="D5" t="s">
        <v>65</v>
      </c>
      <c r="E5" t="s">
        <v>25</v>
      </c>
      <c r="F5" t="s">
        <v>39</v>
      </c>
      <c r="G5" t="s">
        <v>43</v>
      </c>
      <c r="H5" s="4">
        <v>65000</v>
      </c>
      <c r="I5">
        <v>1</v>
      </c>
      <c r="J5">
        <v>0.15</v>
      </c>
      <c r="K5">
        <v>55250</v>
      </c>
      <c r="L5">
        <v>1910.7</v>
      </c>
      <c r="M5" t="s">
        <v>17</v>
      </c>
    </row>
    <row r="6" spans="1:13" x14ac:dyDescent="0.25">
      <c r="A6" t="s">
        <v>282</v>
      </c>
      <c r="B6">
        <f t="shared" si="0"/>
        <v>1</v>
      </c>
      <c r="C6" s="5">
        <v>45673</v>
      </c>
      <c r="D6" t="s">
        <v>13</v>
      </c>
      <c r="E6" t="s">
        <v>38</v>
      </c>
      <c r="F6" t="s">
        <v>39</v>
      </c>
      <c r="G6" t="s">
        <v>41</v>
      </c>
      <c r="H6" s="4">
        <v>15000</v>
      </c>
      <c r="I6">
        <v>1</v>
      </c>
      <c r="J6">
        <v>0</v>
      </c>
      <c r="K6">
        <v>15000</v>
      </c>
      <c r="L6">
        <v>0</v>
      </c>
      <c r="M6" t="s">
        <v>17</v>
      </c>
    </row>
    <row r="7" spans="1:13" x14ac:dyDescent="0.25">
      <c r="A7" t="s">
        <v>46</v>
      </c>
      <c r="B7">
        <f t="shared" si="0"/>
        <v>1</v>
      </c>
      <c r="C7" s="5">
        <v>45674</v>
      </c>
      <c r="D7" t="s">
        <v>19</v>
      </c>
      <c r="E7" t="s">
        <v>20</v>
      </c>
      <c r="F7" t="s">
        <v>47</v>
      </c>
      <c r="G7" t="s">
        <v>29</v>
      </c>
      <c r="H7" s="4">
        <v>8000</v>
      </c>
      <c r="I7">
        <v>1</v>
      </c>
      <c r="J7">
        <v>0</v>
      </c>
      <c r="K7">
        <v>8000</v>
      </c>
      <c r="L7">
        <v>1328.78</v>
      </c>
      <c r="M7" t="s">
        <v>33</v>
      </c>
    </row>
    <row r="8" spans="1:13" x14ac:dyDescent="0.25">
      <c r="A8" t="s">
        <v>151</v>
      </c>
      <c r="B8">
        <f t="shared" si="0"/>
        <v>1</v>
      </c>
      <c r="C8" s="5">
        <v>45674</v>
      </c>
      <c r="D8" t="s">
        <v>13</v>
      </c>
      <c r="E8" t="s">
        <v>35</v>
      </c>
      <c r="F8" t="s">
        <v>26</v>
      </c>
      <c r="G8" t="s">
        <v>22</v>
      </c>
      <c r="H8" s="4">
        <v>35000</v>
      </c>
      <c r="I8">
        <v>2</v>
      </c>
      <c r="J8">
        <v>0.05</v>
      </c>
      <c r="K8">
        <v>66500</v>
      </c>
      <c r="L8">
        <v>671.86</v>
      </c>
      <c r="M8" t="s">
        <v>33</v>
      </c>
    </row>
    <row r="9" spans="1:13" x14ac:dyDescent="0.25">
      <c r="A9" t="s">
        <v>281</v>
      </c>
      <c r="B9">
        <f t="shared" si="0"/>
        <v>1</v>
      </c>
      <c r="C9" s="5">
        <v>45674</v>
      </c>
      <c r="D9" t="s">
        <v>13</v>
      </c>
      <c r="E9" t="s">
        <v>25</v>
      </c>
      <c r="F9" t="s">
        <v>39</v>
      </c>
      <c r="G9" t="s">
        <v>43</v>
      </c>
      <c r="H9" s="4">
        <v>65000</v>
      </c>
      <c r="I9">
        <v>2</v>
      </c>
      <c r="J9">
        <v>0.05</v>
      </c>
      <c r="K9">
        <v>123500</v>
      </c>
      <c r="L9">
        <v>399.5</v>
      </c>
      <c r="M9" t="s">
        <v>33</v>
      </c>
    </row>
    <row r="10" spans="1:13" x14ac:dyDescent="0.25">
      <c r="A10" t="s">
        <v>296</v>
      </c>
      <c r="B10">
        <f t="shared" si="0"/>
        <v>1</v>
      </c>
      <c r="C10" s="5">
        <v>45675</v>
      </c>
      <c r="D10" t="s">
        <v>19</v>
      </c>
      <c r="E10" t="s">
        <v>32</v>
      </c>
      <c r="F10" t="s">
        <v>15</v>
      </c>
      <c r="G10" t="s">
        <v>43</v>
      </c>
      <c r="H10" s="4">
        <v>65000</v>
      </c>
      <c r="I10">
        <v>2</v>
      </c>
      <c r="J10">
        <v>0</v>
      </c>
      <c r="K10">
        <v>130000</v>
      </c>
      <c r="L10">
        <v>2224.63</v>
      </c>
      <c r="M10" t="s">
        <v>33</v>
      </c>
    </row>
    <row r="11" spans="1:13" x14ac:dyDescent="0.25">
      <c r="A11" t="s">
        <v>249</v>
      </c>
      <c r="B11">
        <f t="shared" si="0"/>
        <v>1</v>
      </c>
      <c r="C11" s="5">
        <v>45676</v>
      </c>
      <c r="D11" t="s">
        <v>24</v>
      </c>
      <c r="E11" t="s">
        <v>20</v>
      </c>
      <c r="F11" t="s">
        <v>36</v>
      </c>
      <c r="G11" t="s">
        <v>22</v>
      </c>
      <c r="H11" s="4">
        <v>35000</v>
      </c>
      <c r="I11">
        <v>2</v>
      </c>
      <c r="J11">
        <v>0.15</v>
      </c>
      <c r="K11">
        <v>59500</v>
      </c>
      <c r="L11">
        <v>3207.53</v>
      </c>
      <c r="M11" t="s">
        <v>17</v>
      </c>
    </row>
    <row r="12" spans="1:13" x14ac:dyDescent="0.25">
      <c r="A12" t="s">
        <v>460</v>
      </c>
      <c r="B12">
        <f t="shared" si="0"/>
        <v>1</v>
      </c>
      <c r="C12" s="5">
        <v>45677</v>
      </c>
      <c r="D12" t="s">
        <v>65</v>
      </c>
      <c r="E12" t="s">
        <v>32</v>
      </c>
      <c r="F12" t="s">
        <v>26</v>
      </c>
      <c r="G12" t="s">
        <v>16</v>
      </c>
      <c r="H12" s="4">
        <v>5000</v>
      </c>
      <c r="I12">
        <v>2</v>
      </c>
      <c r="J12">
        <v>0</v>
      </c>
      <c r="K12">
        <v>10000</v>
      </c>
      <c r="L12">
        <v>2738.4</v>
      </c>
      <c r="M12" t="s">
        <v>17</v>
      </c>
    </row>
    <row r="13" spans="1:13" x14ac:dyDescent="0.25">
      <c r="A13" t="s">
        <v>486</v>
      </c>
      <c r="B13">
        <f t="shared" si="0"/>
        <v>1</v>
      </c>
      <c r="C13" s="5">
        <v>45677</v>
      </c>
      <c r="D13" t="s">
        <v>13</v>
      </c>
      <c r="E13" t="s">
        <v>35</v>
      </c>
      <c r="F13" t="s">
        <v>21</v>
      </c>
      <c r="G13" t="s">
        <v>22</v>
      </c>
      <c r="H13" s="4">
        <v>35000</v>
      </c>
      <c r="I13">
        <v>3</v>
      </c>
      <c r="J13">
        <v>0.05</v>
      </c>
      <c r="K13">
        <v>99750</v>
      </c>
      <c r="L13">
        <v>3380.91</v>
      </c>
      <c r="M13" t="s">
        <v>33</v>
      </c>
    </row>
    <row r="14" spans="1:13" x14ac:dyDescent="0.25">
      <c r="A14" t="s">
        <v>472</v>
      </c>
      <c r="B14">
        <f t="shared" si="0"/>
        <v>1</v>
      </c>
      <c r="C14" s="5">
        <v>45678</v>
      </c>
      <c r="D14" t="s">
        <v>19</v>
      </c>
      <c r="E14" t="s">
        <v>35</v>
      </c>
      <c r="F14" t="s">
        <v>26</v>
      </c>
      <c r="G14" t="s">
        <v>16</v>
      </c>
      <c r="H14" s="4">
        <v>5000</v>
      </c>
      <c r="I14">
        <v>2</v>
      </c>
      <c r="J14">
        <v>0</v>
      </c>
      <c r="K14">
        <v>10000</v>
      </c>
      <c r="L14">
        <v>1273.32</v>
      </c>
      <c r="M14" t="s">
        <v>17</v>
      </c>
    </row>
    <row r="15" spans="1:13" x14ac:dyDescent="0.25">
      <c r="A15" t="s">
        <v>241</v>
      </c>
      <c r="B15">
        <f t="shared" si="0"/>
        <v>1</v>
      </c>
      <c r="C15" s="5">
        <v>45680</v>
      </c>
      <c r="D15" t="s">
        <v>24</v>
      </c>
      <c r="E15" t="s">
        <v>32</v>
      </c>
      <c r="F15" t="s">
        <v>15</v>
      </c>
      <c r="G15" t="s">
        <v>29</v>
      </c>
      <c r="H15" s="4">
        <v>8000</v>
      </c>
      <c r="I15">
        <v>2</v>
      </c>
      <c r="J15">
        <v>0</v>
      </c>
      <c r="K15">
        <v>16000</v>
      </c>
      <c r="L15">
        <v>1580.54</v>
      </c>
      <c r="M15" t="s">
        <v>33</v>
      </c>
    </row>
    <row r="16" spans="1:13" x14ac:dyDescent="0.25">
      <c r="A16" t="s">
        <v>482</v>
      </c>
      <c r="B16">
        <f t="shared" si="0"/>
        <v>1</v>
      </c>
      <c r="C16" s="5">
        <v>45680</v>
      </c>
      <c r="D16" t="s">
        <v>31</v>
      </c>
      <c r="E16" t="s">
        <v>20</v>
      </c>
      <c r="F16" t="s">
        <v>21</v>
      </c>
      <c r="G16" t="s">
        <v>29</v>
      </c>
      <c r="H16" s="4">
        <v>8000</v>
      </c>
      <c r="I16">
        <v>1</v>
      </c>
      <c r="J16">
        <v>0.1</v>
      </c>
      <c r="K16">
        <v>7200</v>
      </c>
      <c r="L16">
        <v>2072.63</v>
      </c>
      <c r="M16" t="s">
        <v>17</v>
      </c>
    </row>
    <row r="17" spans="1:13" x14ac:dyDescent="0.25">
      <c r="A17" t="s">
        <v>247</v>
      </c>
      <c r="B17">
        <f t="shared" si="0"/>
        <v>1</v>
      </c>
      <c r="C17" s="5">
        <v>45681</v>
      </c>
      <c r="D17" t="s">
        <v>13</v>
      </c>
      <c r="E17" t="s">
        <v>35</v>
      </c>
      <c r="F17" t="s">
        <v>15</v>
      </c>
      <c r="G17" t="s">
        <v>43</v>
      </c>
      <c r="H17" s="4">
        <v>65000</v>
      </c>
      <c r="I17">
        <v>2</v>
      </c>
      <c r="J17">
        <v>0.2</v>
      </c>
      <c r="K17">
        <v>104000</v>
      </c>
      <c r="L17">
        <v>1701.92</v>
      </c>
      <c r="M17" t="s">
        <v>33</v>
      </c>
    </row>
    <row r="18" spans="1:13" x14ac:dyDescent="0.25">
      <c r="A18" t="s">
        <v>357</v>
      </c>
      <c r="B18">
        <f t="shared" si="0"/>
        <v>1</v>
      </c>
      <c r="C18" s="5">
        <v>45681</v>
      </c>
      <c r="D18" t="s">
        <v>31</v>
      </c>
      <c r="E18" t="s">
        <v>28</v>
      </c>
      <c r="F18" t="s">
        <v>21</v>
      </c>
      <c r="G18" t="s">
        <v>16</v>
      </c>
      <c r="H18" s="4">
        <v>5000</v>
      </c>
      <c r="I18">
        <v>2</v>
      </c>
      <c r="J18">
        <v>0.1</v>
      </c>
      <c r="K18">
        <v>9000</v>
      </c>
      <c r="L18">
        <v>0</v>
      </c>
      <c r="M18" t="s">
        <v>17</v>
      </c>
    </row>
    <row r="19" spans="1:13" x14ac:dyDescent="0.25">
      <c r="A19" t="s">
        <v>102</v>
      </c>
      <c r="B19">
        <f t="shared" si="0"/>
        <v>1</v>
      </c>
      <c r="C19" s="5">
        <v>45685</v>
      </c>
      <c r="D19" t="s">
        <v>65</v>
      </c>
      <c r="E19" t="s">
        <v>20</v>
      </c>
      <c r="F19" t="s">
        <v>26</v>
      </c>
      <c r="G19" t="s">
        <v>41</v>
      </c>
      <c r="H19" s="4">
        <v>15000</v>
      </c>
      <c r="I19">
        <v>1</v>
      </c>
      <c r="J19">
        <v>0</v>
      </c>
      <c r="K19">
        <v>15000</v>
      </c>
      <c r="L19">
        <v>3207.99</v>
      </c>
      <c r="M19" t="s">
        <v>17</v>
      </c>
    </row>
    <row r="20" spans="1:13" x14ac:dyDescent="0.25">
      <c r="A20" t="s">
        <v>469</v>
      </c>
      <c r="B20">
        <f t="shared" si="0"/>
        <v>1</v>
      </c>
      <c r="C20" s="5">
        <v>45685</v>
      </c>
      <c r="D20" t="s">
        <v>31</v>
      </c>
      <c r="E20" t="s">
        <v>25</v>
      </c>
      <c r="F20" t="s">
        <v>26</v>
      </c>
      <c r="G20" t="s">
        <v>43</v>
      </c>
      <c r="H20" s="4">
        <v>65000</v>
      </c>
      <c r="I20">
        <v>1</v>
      </c>
      <c r="J20">
        <v>0.05</v>
      </c>
      <c r="K20">
        <v>61750</v>
      </c>
      <c r="L20">
        <v>2494.77</v>
      </c>
      <c r="M20" t="s">
        <v>17</v>
      </c>
    </row>
    <row r="21" spans="1:13" x14ac:dyDescent="0.25">
      <c r="A21" t="s">
        <v>252</v>
      </c>
      <c r="B21">
        <f t="shared" si="0"/>
        <v>1</v>
      </c>
      <c r="C21" s="5">
        <v>45688</v>
      </c>
      <c r="D21" t="s">
        <v>24</v>
      </c>
      <c r="E21" t="s">
        <v>14</v>
      </c>
      <c r="F21" t="s">
        <v>101</v>
      </c>
      <c r="G21" t="s">
        <v>43</v>
      </c>
      <c r="H21" s="4">
        <v>65000</v>
      </c>
      <c r="I21">
        <v>2</v>
      </c>
      <c r="J21">
        <v>0.1</v>
      </c>
      <c r="K21">
        <v>117000</v>
      </c>
      <c r="L21">
        <v>0</v>
      </c>
      <c r="M21" t="s">
        <v>17</v>
      </c>
    </row>
    <row r="22" spans="1:13" x14ac:dyDescent="0.25">
      <c r="A22" t="s">
        <v>209</v>
      </c>
      <c r="B22">
        <f t="shared" si="0"/>
        <v>1</v>
      </c>
      <c r="C22" s="5">
        <v>45689</v>
      </c>
      <c r="D22" t="s">
        <v>24</v>
      </c>
      <c r="E22" t="s">
        <v>38</v>
      </c>
      <c r="F22" t="s">
        <v>26</v>
      </c>
      <c r="G22" t="s">
        <v>41</v>
      </c>
      <c r="H22" s="4">
        <v>15000</v>
      </c>
      <c r="I22">
        <v>3</v>
      </c>
      <c r="J22">
        <v>0</v>
      </c>
      <c r="K22">
        <v>45000</v>
      </c>
      <c r="L22">
        <v>0</v>
      </c>
      <c r="M22" t="s">
        <v>17</v>
      </c>
    </row>
    <row r="23" spans="1:13" x14ac:dyDescent="0.25">
      <c r="A23" t="s">
        <v>484</v>
      </c>
      <c r="B23">
        <f t="shared" si="0"/>
        <v>1</v>
      </c>
      <c r="C23" s="5">
        <v>45690</v>
      </c>
      <c r="D23" t="s">
        <v>31</v>
      </c>
      <c r="E23" t="s">
        <v>32</v>
      </c>
      <c r="F23" t="s">
        <v>39</v>
      </c>
      <c r="G23" t="s">
        <v>29</v>
      </c>
      <c r="H23" s="4">
        <v>8000</v>
      </c>
      <c r="I23">
        <v>2</v>
      </c>
      <c r="J23">
        <v>0</v>
      </c>
      <c r="K23">
        <v>16000</v>
      </c>
      <c r="L23">
        <v>1412.72</v>
      </c>
      <c r="M23" t="s">
        <v>17</v>
      </c>
    </row>
    <row r="24" spans="1:13" x14ac:dyDescent="0.25">
      <c r="A24" t="s">
        <v>123</v>
      </c>
      <c r="B24">
        <f t="shared" si="0"/>
        <v>1</v>
      </c>
      <c r="C24" s="5">
        <v>45693</v>
      </c>
      <c r="D24" t="s">
        <v>19</v>
      </c>
      <c r="E24" t="s">
        <v>35</v>
      </c>
      <c r="F24" t="s">
        <v>15</v>
      </c>
      <c r="G24" t="s">
        <v>29</v>
      </c>
      <c r="H24" s="4">
        <v>8000</v>
      </c>
      <c r="I24">
        <v>1</v>
      </c>
      <c r="J24">
        <v>0.1</v>
      </c>
      <c r="K24">
        <v>7200</v>
      </c>
      <c r="L24">
        <v>1299.02</v>
      </c>
      <c r="M24" t="s">
        <v>33</v>
      </c>
    </row>
    <row r="25" spans="1:13" x14ac:dyDescent="0.25">
      <c r="A25" t="s">
        <v>354</v>
      </c>
      <c r="B25">
        <f t="shared" si="0"/>
        <v>1</v>
      </c>
      <c r="C25" s="5">
        <v>45698</v>
      </c>
      <c r="D25" t="s">
        <v>24</v>
      </c>
      <c r="E25" t="s">
        <v>35</v>
      </c>
      <c r="F25" t="s">
        <v>21</v>
      </c>
      <c r="G25" t="s">
        <v>22</v>
      </c>
      <c r="H25" s="4">
        <v>35000</v>
      </c>
      <c r="I25">
        <v>2</v>
      </c>
      <c r="J25">
        <v>0.1</v>
      </c>
      <c r="K25">
        <v>63000</v>
      </c>
      <c r="L25">
        <v>501.7</v>
      </c>
      <c r="M25" t="s">
        <v>17</v>
      </c>
    </row>
    <row r="26" spans="1:13" x14ac:dyDescent="0.25">
      <c r="A26" t="s">
        <v>303</v>
      </c>
      <c r="B26">
        <f t="shared" si="0"/>
        <v>1</v>
      </c>
      <c r="C26" s="5">
        <v>45699</v>
      </c>
      <c r="D26" t="s">
        <v>13</v>
      </c>
      <c r="E26" t="s">
        <v>25</v>
      </c>
      <c r="F26" t="s">
        <v>36</v>
      </c>
      <c r="G26" t="s">
        <v>22</v>
      </c>
      <c r="H26" s="4">
        <v>35000</v>
      </c>
      <c r="I26">
        <v>2</v>
      </c>
      <c r="J26">
        <v>0.05</v>
      </c>
      <c r="K26">
        <v>66500</v>
      </c>
      <c r="L26">
        <v>2639.8</v>
      </c>
      <c r="M26" t="s">
        <v>33</v>
      </c>
    </row>
    <row r="27" spans="1:13" x14ac:dyDescent="0.25">
      <c r="A27" t="s">
        <v>278</v>
      </c>
      <c r="B27">
        <f t="shared" si="0"/>
        <v>1</v>
      </c>
      <c r="C27" s="5">
        <v>45700</v>
      </c>
      <c r="D27" t="s">
        <v>63</v>
      </c>
      <c r="E27" t="s">
        <v>38</v>
      </c>
      <c r="F27" t="s">
        <v>21</v>
      </c>
      <c r="G27" t="s">
        <v>16</v>
      </c>
      <c r="H27" s="4">
        <v>5000</v>
      </c>
      <c r="I27">
        <v>3</v>
      </c>
      <c r="J27">
        <v>0.15</v>
      </c>
      <c r="K27">
        <v>12750</v>
      </c>
      <c r="L27">
        <v>0</v>
      </c>
      <c r="M27" t="s">
        <v>17</v>
      </c>
    </row>
    <row r="28" spans="1:13" x14ac:dyDescent="0.25">
      <c r="A28" t="s">
        <v>287</v>
      </c>
      <c r="B28">
        <f t="shared" si="0"/>
        <v>1</v>
      </c>
      <c r="C28" s="5">
        <v>45703</v>
      </c>
      <c r="D28" t="s">
        <v>13</v>
      </c>
      <c r="E28" t="s">
        <v>14</v>
      </c>
      <c r="F28" t="s">
        <v>15</v>
      </c>
      <c r="G28" t="s">
        <v>43</v>
      </c>
      <c r="H28" s="4">
        <v>65000</v>
      </c>
      <c r="I28">
        <v>1</v>
      </c>
      <c r="J28">
        <v>0</v>
      </c>
      <c r="K28">
        <v>65000</v>
      </c>
      <c r="L28">
        <v>0</v>
      </c>
      <c r="M28" t="s">
        <v>17</v>
      </c>
    </row>
    <row r="29" spans="1:13" x14ac:dyDescent="0.25">
      <c r="A29" t="s">
        <v>408</v>
      </c>
      <c r="B29">
        <f t="shared" si="0"/>
        <v>1</v>
      </c>
      <c r="C29" s="5">
        <v>45704</v>
      </c>
      <c r="D29" t="s">
        <v>19</v>
      </c>
      <c r="E29" t="s">
        <v>20</v>
      </c>
      <c r="F29" t="s">
        <v>39</v>
      </c>
      <c r="G29" t="s">
        <v>41</v>
      </c>
      <c r="H29" s="4">
        <v>15000</v>
      </c>
      <c r="I29">
        <v>1</v>
      </c>
      <c r="J29">
        <v>0.05</v>
      </c>
      <c r="K29">
        <v>14250</v>
      </c>
      <c r="L29">
        <v>2564.38</v>
      </c>
      <c r="M29" t="s">
        <v>33</v>
      </c>
    </row>
    <row r="30" spans="1:13" x14ac:dyDescent="0.25">
      <c r="A30" t="s">
        <v>306</v>
      </c>
      <c r="B30">
        <f t="shared" si="0"/>
        <v>1</v>
      </c>
      <c r="C30" s="5">
        <v>45706</v>
      </c>
      <c r="D30" t="s">
        <v>13</v>
      </c>
      <c r="E30" t="s">
        <v>32</v>
      </c>
      <c r="F30" t="s">
        <v>49</v>
      </c>
      <c r="G30" t="s">
        <v>41</v>
      </c>
      <c r="H30" s="4">
        <v>15000</v>
      </c>
      <c r="I30">
        <v>1</v>
      </c>
      <c r="J30">
        <v>0.1</v>
      </c>
      <c r="K30">
        <v>13500</v>
      </c>
      <c r="L30">
        <v>986.74</v>
      </c>
      <c r="M30" t="s">
        <v>33</v>
      </c>
    </row>
    <row r="31" spans="1:13" x14ac:dyDescent="0.25">
      <c r="A31" t="s">
        <v>447</v>
      </c>
      <c r="B31">
        <f t="shared" si="0"/>
        <v>1</v>
      </c>
      <c r="C31" s="5">
        <v>45706</v>
      </c>
      <c r="D31" t="s">
        <v>31</v>
      </c>
      <c r="E31" t="s">
        <v>38</v>
      </c>
      <c r="F31" t="s">
        <v>39</v>
      </c>
      <c r="G31" t="s">
        <v>29</v>
      </c>
      <c r="H31" s="4">
        <v>8000</v>
      </c>
      <c r="I31">
        <v>1</v>
      </c>
      <c r="J31">
        <v>0.15</v>
      </c>
      <c r="K31">
        <v>6800</v>
      </c>
      <c r="L31">
        <v>0</v>
      </c>
      <c r="M31" t="s">
        <v>33</v>
      </c>
    </row>
    <row r="32" spans="1:13" x14ac:dyDescent="0.25">
      <c r="A32" t="s">
        <v>475</v>
      </c>
      <c r="B32">
        <f t="shared" si="0"/>
        <v>1</v>
      </c>
      <c r="C32" s="5">
        <v>45706</v>
      </c>
      <c r="D32" t="s">
        <v>13</v>
      </c>
      <c r="E32" t="s">
        <v>35</v>
      </c>
      <c r="F32" t="s">
        <v>47</v>
      </c>
      <c r="G32" t="s">
        <v>29</v>
      </c>
      <c r="H32" s="4">
        <v>8000</v>
      </c>
      <c r="I32">
        <v>2</v>
      </c>
      <c r="J32">
        <v>0</v>
      </c>
      <c r="K32">
        <v>16000</v>
      </c>
      <c r="L32">
        <v>1269.3900000000001</v>
      </c>
      <c r="M32" t="s">
        <v>17</v>
      </c>
    </row>
    <row r="33" spans="1:13" x14ac:dyDescent="0.25">
      <c r="A33" t="s">
        <v>166</v>
      </c>
      <c r="B33">
        <f t="shared" si="0"/>
        <v>1</v>
      </c>
      <c r="C33" s="5">
        <v>45713</v>
      </c>
      <c r="D33" t="s">
        <v>19</v>
      </c>
      <c r="E33" t="s">
        <v>20</v>
      </c>
      <c r="F33" t="s">
        <v>15</v>
      </c>
      <c r="G33" t="s">
        <v>16</v>
      </c>
      <c r="H33" s="4">
        <v>5000</v>
      </c>
      <c r="I33">
        <v>2</v>
      </c>
      <c r="J33">
        <v>0</v>
      </c>
      <c r="K33">
        <v>10000</v>
      </c>
      <c r="L33">
        <v>2573.34</v>
      </c>
      <c r="M33" t="s">
        <v>17</v>
      </c>
    </row>
    <row r="34" spans="1:13" x14ac:dyDescent="0.25">
      <c r="A34" t="s">
        <v>491</v>
      </c>
      <c r="B34">
        <f t="shared" si="0"/>
        <v>1</v>
      </c>
      <c r="C34" s="5">
        <v>45714</v>
      </c>
      <c r="D34" t="s">
        <v>13</v>
      </c>
      <c r="E34" t="s">
        <v>38</v>
      </c>
      <c r="F34" t="s">
        <v>15</v>
      </c>
      <c r="G34" t="s">
        <v>16</v>
      </c>
      <c r="H34" s="4">
        <v>5000</v>
      </c>
      <c r="I34">
        <v>2</v>
      </c>
      <c r="J34">
        <v>0</v>
      </c>
      <c r="K34">
        <v>10000</v>
      </c>
      <c r="L34">
        <v>0</v>
      </c>
      <c r="M34" t="s">
        <v>17</v>
      </c>
    </row>
    <row r="35" spans="1:13" x14ac:dyDescent="0.25">
      <c r="A35" t="s">
        <v>478</v>
      </c>
      <c r="B35">
        <f t="shared" si="0"/>
        <v>1</v>
      </c>
      <c r="C35" s="5">
        <v>45716</v>
      </c>
      <c r="D35" t="s">
        <v>19</v>
      </c>
      <c r="E35" t="s">
        <v>35</v>
      </c>
      <c r="F35" t="s">
        <v>39</v>
      </c>
      <c r="G35" t="s">
        <v>43</v>
      </c>
      <c r="H35" s="4">
        <v>65000</v>
      </c>
      <c r="I35">
        <v>1</v>
      </c>
      <c r="J35">
        <v>0.2</v>
      </c>
      <c r="K35">
        <v>52000</v>
      </c>
      <c r="L35">
        <v>2587.4</v>
      </c>
      <c r="M35" t="s">
        <v>17</v>
      </c>
    </row>
    <row r="36" spans="1:13" x14ac:dyDescent="0.25">
      <c r="A36" t="s">
        <v>430</v>
      </c>
      <c r="B36">
        <f t="shared" si="0"/>
        <v>1</v>
      </c>
      <c r="C36" s="5">
        <v>45717</v>
      </c>
      <c r="D36" t="s">
        <v>13</v>
      </c>
      <c r="E36" t="s">
        <v>28</v>
      </c>
      <c r="F36" t="s">
        <v>49</v>
      </c>
      <c r="G36" t="s">
        <v>16</v>
      </c>
      <c r="H36" s="4">
        <v>5000</v>
      </c>
      <c r="I36">
        <v>2</v>
      </c>
      <c r="J36">
        <v>0</v>
      </c>
      <c r="K36">
        <v>10000</v>
      </c>
      <c r="L36">
        <v>0</v>
      </c>
      <c r="M36" t="s">
        <v>17</v>
      </c>
    </row>
    <row r="37" spans="1:13" x14ac:dyDescent="0.25">
      <c r="A37" t="s">
        <v>90</v>
      </c>
      <c r="B37">
        <f t="shared" si="0"/>
        <v>1</v>
      </c>
      <c r="C37" s="5">
        <v>45720</v>
      </c>
      <c r="D37" t="s">
        <v>19</v>
      </c>
      <c r="E37" t="s">
        <v>20</v>
      </c>
      <c r="F37" t="s">
        <v>26</v>
      </c>
      <c r="G37" t="s">
        <v>43</v>
      </c>
      <c r="H37" s="4">
        <v>65000</v>
      </c>
      <c r="I37">
        <v>1</v>
      </c>
      <c r="J37">
        <v>0.05</v>
      </c>
      <c r="K37">
        <v>61750</v>
      </c>
      <c r="L37">
        <v>2257.0500000000002</v>
      </c>
      <c r="M37" t="s">
        <v>17</v>
      </c>
    </row>
    <row r="38" spans="1:13" x14ac:dyDescent="0.25">
      <c r="A38" t="s">
        <v>111</v>
      </c>
      <c r="B38">
        <f t="shared" si="0"/>
        <v>1</v>
      </c>
      <c r="C38" s="5">
        <v>45721</v>
      </c>
      <c r="D38" t="s">
        <v>31</v>
      </c>
      <c r="E38" t="s">
        <v>20</v>
      </c>
      <c r="F38" t="s">
        <v>47</v>
      </c>
      <c r="G38" t="s">
        <v>41</v>
      </c>
      <c r="H38" s="4">
        <v>15000</v>
      </c>
      <c r="I38">
        <v>2</v>
      </c>
      <c r="J38">
        <v>0.05</v>
      </c>
      <c r="K38">
        <v>28500</v>
      </c>
      <c r="L38">
        <v>1231.42</v>
      </c>
      <c r="M38" t="s">
        <v>33</v>
      </c>
    </row>
    <row r="39" spans="1:13" x14ac:dyDescent="0.25">
      <c r="A39" t="s">
        <v>225</v>
      </c>
      <c r="B39">
        <f t="shared" si="0"/>
        <v>1</v>
      </c>
      <c r="C39" s="5">
        <v>45721</v>
      </c>
      <c r="D39" t="s">
        <v>13</v>
      </c>
      <c r="E39" t="s">
        <v>32</v>
      </c>
      <c r="F39" t="s">
        <v>36</v>
      </c>
      <c r="G39" t="s">
        <v>29</v>
      </c>
      <c r="H39" s="4">
        <v>8000</v>
      </c>
      <c r="I39">
        <v>2</v>
      </c>
      <c r="J39">
        <v>0.1</v>
      </c>
      <c r="K39">
        <v>14400</v>
      </c>
      <c r="L39">
        <v>1519.14</v>
      </c>
      <c r="M39" t="s">
        <v>33</v>
      </c>
    </row>
    <row r="40" spans="1:13" x14ac:dyDescent="0.25">
      <c r="A40" t="s">
        <v>223</v>
      </c>
      <c r="B40">
        <f t="shared" si="0"/>
        <v>1</v>
      </c>
      <c r="C40" s="5">
        <v>45722</v>
      </c>
      <c r="D40" t="s">
        <v>24</v>
      </c>
      <c r="E40" t="s">
        <v>38</v>
      </c>
      <c r="F40" t="s">
        <v>26</v>
      </c>
      <c r="G40" t="s">
        <v>41</v>
      </c>
      <c r="H40" s="4">
        <v>15000</v>
      </c>
      <c r="I40">
        <v>1</v>
      </c>
      <c r="J40">
        <v>0</v>
      </c>
      <c r="K40">
        <v>15000</v>
      </c>
      <c r="L40">
        <v>0</v>
      </c>
      <c r="M40" t="s">
        <v>33</v>
      </c>
    </row>
    <row r="41" spans="1:13" x14ac:dyDescent="0.25">
      <c r="A41" t="s">
        <v>313</v>
      </c>
      <c r="B41">
        <f t="shared" si="0"/>
        <v>1</v>
      </c>
      <c r="C41" s="5">
        <v>45722</v>
      </c>
      <c r="D41" t="s">
        <v>24</v>
      </c>
      <c r="E41" t="s">
        <v>25</v>
      </c>
      <c r="F41" t="s">
        <v>36</v>
      </c>
      <c r="G41" t="s">
        <v>41</v>
      </c>
      <c r="H41" s="4">
        <v>15000</v>
      </c>
      <c r="I41">
        <v>1</v>
      </c>
      <c r="J41">
        <v>0</v>
      </c>
      <c r="K41">
        <v>15000</v>
      </c>
      <c r="L41">
        <v>236.39</v>
      </c>
      <c r="M41" t="s">
        <v>17</v>
      </c>
    </row>
    <row r="42" spans="1:13" x14ac:dyDescent="0.25">
      <c r="A42" t="s">
        <v>138</v>
      </c>
      <c r="B42">
        <f t="shared" si="0"/>
        <v>1</v>
      </c>
      <c r="C42" s="5">
        <v>45723</v>
      </c>
      <c r="D42" t="s">
        <v>13</v>
      </c>
      <c r="E42" t="s">
        <v>35</v>
      </c>
      <c r="F42" t="s">
        <v>26</v>
      </c>
      <c r="G42" t="s">
        <v>43</v>
      </c>
      <c r="H42" s="4">
        <v>65000</v>
      </c>
      <c r="I42">
        <v>3</v>
      </c>
      <c r="J42">
        <v>0</v>
      </c>
      <c r="K42">
        <v>195000</v>
      </c>
      <c r="L42">
        <v>802.24</v>
      </c>
      <c r="M42" t="s">
        <v>33</v>
      </c>
    </row>
    <row r="43" spans="1:13" x14ac:dyDescent="0.25">
      <c r="A43" t="s">
        <v>143</v>
      </c>
      <c r="B43">
        <f t="shared" si="0"/>
        <v>1</v>
      </c>
      <c r="C43" s="5">
        <v>45724</v>
      </c>
      <c r="D43" t="s">
        <v>19</v>
      </c>
      <c r="E43" t="s">
        <v>14</v>
      </c>
      <c r="F43" t="s">
        <v>26</v>
      </c>
      <c r="G43" t="s">
        <v>16</v>
      </c>
      <c r="H43" s="4">
        <v>5000</v>
      </c>
      <c r="I43">
        <v>2</v>
      </c>
      <c r="J43">
        <v>0.05</v>
      </c>
      <c r="K43">
        <v>9500</v>
      </c>
      <c r="L43">
        <v>0</v>
      </c>
      <c r="M43" t="s">
        <v>33</v>
      </c>
    </row>
    <row r="44" spans="1:13" x14ac:dyDescent="0.25">
      <c r="A44" t="s">
        <v>294</v>
      </c>
      <c r="B44">
        <f t="shared" si="0"/>
        <v>1</v>
      </c>
      <c r="C44" s="5">
        <v>45724</v>
      </c>
      <c r="D44" t="s">
        <v>19</v>
      </c>
      <c r="E44" t="s">
        <v>25</v>
      </c>
      <c r="F44" t="s">
        <v>49</v>
      </c>
      <c r="G44" t="s">
        <v>41</v>
      </c>
      <c r="H44" s="4">
        <v>15000</v>
      </c>
      <c r="I44">
        <v>3</v>
      </c>
      <c r="J44">
        <v>0</v>
      </c>
      <c r="K44">
        <v>45000</v>
      </c>
      <c r="L44">
        <v>1908.28</v>
      </c>
      <c r="M44" t="s">
        <v>17</v>
      </c>
    </row>
    <row r="45" spans="1:13" x14ac:dyDescent="0.25">
      <c r="A45" t="s">
        <v>243</v>
      </c>
      <c r="B45">
        <f t="shared" si="0"/>
        <v>1</v>
      </c>
      <c r="C45" s="5">
        <v>45726</v>
      </c>
      <c r="D45" t="s">
        <v>31</v>
      </c>
      <c r="E45" t="s">
        <v>25</v>
      </c>
      <c r="F45" t="s">
        <v>47</v>
      </c>
      <c r="G45" t="s">
        <v>29</v>
      </c>
      <c r="H45" s="4">
        <v>8000</v>
      </c>
      <c r="I45">
        <v>1</v>
      </c>
      <c r="J45">
        <v>0.05</v>
      </c>
      <c r="K45">
        <v>7600</v>
      </c>
      <c r="L45">
        <v>3376.8</v>
      </c>
      <c r="M45" t="s">
        <v>33</v>
      </c>
    </row>
    <row r="46" spans="1:13" x14ac:dyDescent="0.25">
      <c r="A46" t="s">
        <v>351</v>
      </c>
      <c r="B46">
        <f t="shared" si="0"/>
        <v>1</v>
      </c>
      <c r="C46" s="5">
        <v>45726</v>
      </c>
      <c r="D46" t="s">
        <v>65</v>
      </c>
      <c r="E46" t="s">
        <v>35</v>
      </c>
      <c r="F46" t="s">
        <v>15</v>
      </c>
      <c r="G46" t="s">
        <v>43</v>
      </c>
      <c r="H46" s="4">
        <v>65000</v>
      </c>
      <c r="I46">
        <v>1</v>
      </c>
      <c r="J46">
        <v>0</v>
      </c>
      <c r="K46">
        <v>65000</v>
      </c>
      <c r="L46">
        <v>1695.2</v>
      </c>
      <c r="M46" t="s">
        <v>17</v>
      </c>
    </row>
    <row r="47" spans="1:13" x14ac:dyDescent="0.25">
      <c r="A47" t="s">
        <v>112</v>
      </c>
      <c r="B47">
        <f t="shared" si="0"/>
        <v>1</v>
      </c>
      <c r="C47" s="5">
        <v>45728</v>
      </c>
      <c r="D47" t="s">
        <v>13</v>
      </c>
      <c r="E47" t="s">
        <v>35</v>
      </c>
      <c r="F47" t="s">
        <v>26</v>
      </c>
      <c r="G47" t="s">
        <v>43</v>
      </c>
      <c r="H47" s="4">
        <v>65000</v>
      </c>
      <c r="I47">
        <v>1</v>
      </c>
      <c r="J47">
        <v>0.2</v>
      </c>
      <c r="K47">
        <v>52000</v>
      </c>
      <c r="L47">
        <v>860.63</v>
      </c>
      <c r="M47" t="s">
        <v>17</v>
      </c>
    </row>
    <row r="48" spans="1:13" x14ac:dyDescent="0.25">
      <c r="A48" t="s">
        <v>371</v>
      </c>
      <c r="B48">
        <f t="shared" si="0"/>
        <v>1</v>
      </c>
      <c r="C48" s="5">
        <v>45728</v>
      </c>
      <c r="D48" t="s">
        <v>13</v>
      </c>
      <c r="E48" t="s">
        <v>20</v>
      </c>
      <c r="F48" t="s">
        <v>15</v>
      </c>
      <c r="G48" t="s">
        <v>22</v>
      </c>
      <c r="H48" s="4">
        <v>35000</v>
      </c>
      <c r="I48">
        <v>2</v>
      </c>
      <c r="J48">
        <v>0.1</v>
      </c>
      <c r="K48">
        <v>63000</v>
      </c>
      <c r="L48">
        <v>1124.72</v>
      </c>
      <c r="M48" t="s">
        <v>33</v>
      </c>
    </row>
    <row r="49" spans="1:13" x14ac:dyDescent="0.25">
      <c r="A49" t="s">
        <v>195</v>
      </c>
      <c r="B49">
        <f t="shared" si="0"/>
        <v>1</v>
      </c>
      <c r="C49" s="5">
        <v>45731</v>
      </c>
      <c r="D49" t="s">
        <v>24</v>
      </c>
      <c r="E49" t="s">
        <v>20</v>
      </c>
      <c r="F49" t="s">
        <v>21</v>
      </c>
      <c r="G49" t="s">
        <v>41</v>
      </c>
      <c r="H49" s="4">
        <v>15000</v>
      </c>
      <c r="I49">
        <v>2</v>
      </c>
      <c r="J49">
        <v>0</v>
      </c>
      <c r="K49">
        <v>30000</v>
      </c>
      <c r="L49">
        <v>2878.49</v>
      </c>
      <c r="M49" t="s">
        <v>33</v>
      </c>
    </row>
    <row r="50" spans="1:13" x14ac:dyDescent="0.25">
      <c r="A50" t="s">
        <v>468</v>
      </c>
      <c r="B50">
        <f t="shared" si="0"/>
        <v>1</v>
      </c>
      <c r="C50" s="5">
        <v>45731</v>
      </c>
      <c r="D50" t="s">
        <v>65</v>
      </c>
      <c r="E50" t="s">
        <v>25</v>
      </c>
      <c r="F50" t="s">
        <v>49</v>
      </c>
      <c r="G50" t="s">
        <v>41</v>
      </c>
      <c r="H50" s="4">
        <v>15000</v>
      </c>
      <c r="I50">
        <v>3</v>
      </c>
      <c r="J50">
        <v>0</v>
      </c>
      <c r="K50">
        <v>45000</v>
      </c>
      <c r="L50">
        <v>3103.31</v>
      </c>
      <c r="M50" t="s">
        <v>33</v>
      </c>
    </row>
    <row r="51" spans="1:13" x14ac:dyDescent="0.25">
      <c r="A51" t="s">
        <v>56</v>
      </c>
      <c r="B51">
        <f t="shared" si="0"/>
        <v>1</v>
      </c>
      <c r="C51" s="5">
        <v>45732</v>
      </c>
      <c r="D51" t="s">
        <v>19</v>
      </c>
      <c r="E51" t="s">
        <v>25</v>
      </c>
      <c r="F51" t="s">
        <v>26</v>
      </c>
      <c r="G51" t="s">
        <v>16</v>
      </c>
      <c r="H51" s="4">
        <v>5000</v>
      </c>
      <c r="I51">
        <v>3</v>
      </c>
      <c r="J51">
        <v>0</v>
      </c>
      <c r="K51">
        <v>15000</v>
      </c>
      <c r="L51">
        <v>2859.49</v>
      </c>
      <c r="M51" t="s">
        <v>17</v>
      </c>
    </row>
    <row r="52" spans="1:13" x14ac:dyDescent="0.25">
      <c r="A52" t="s">
        <v>344</v>
      </c>
      <c r="B52">
        <f t="shared" si="0"/>
        <v>1</v>
      </c>
      <c r="C52" s="5">
        <v>45732</v>
      </c>
      <c r="D52" t="s">
        <v>19</v>
      </c>
      <c r="E52" t="s">
        <v>35</v>
      </c>
      <c r="F52" t="s">
        <v>26</v>
      </c>
      <c r="G52" t="s">
        <v>43</v>
      </c>
      <c r="H52" s="4">
        <v>65000</v>
      </c>
      <c r="I52">
        <v>1</v>
      </c>
      <c r="J52">
        <v>0</v>
      </c>
      <c r="K52">
        <v>65000</v>
      </c>
      <c r="L52">
        <v>1912.38</v>
      </c>
      <c r="M52" t="s">
        <v>33</v>
      </c>
    </row>
    <row r="53" spans="1:13" x14ac:dyDescent="0.25">
      <c r="A53" t="s">
        <v>376</v>
      </c>
      <c r="B53">
        <f t="shared" si="0"/>
        <v>1</v>
      </c>
      <c r="C53" s="5">
        <v>45732</v>
      </c>
      <c r="D53" t="s">
        <v>65</v>
      </c>
      <c r="E53" t="s">
        <v>14</v>
      </c>
      <c r="F53" t="s">
        <v>36</v>
      </c>
      <c r="G53" t="s">
        <v>41</v>
      </c>
      <c r="H53" s="4">
        <v>15000</v>
      </c>
      <c r="I53">
        <v>1</v>
      </c>
      <c r="J53">
        <v>0</v>
      </c>
      <c r="K53">
        <v>15000</v>
      </c>
      <c r="L53">
        <v>0</v>
      </c>
      <c r="M53" t="s">
        <v>17</v>
      </c>
    </row>
    <row r="54" spans="1:13" x14ac:dyDescent="0.25">
      <c r="A54" t="s">
        <v>456</v>
      </c>
      <c r="B54">
        <f t="shared" si="0"/>
        <v>1</v>
      </c>
      <c r="C54" s="5">
        <v>45732</v>
      </c>
      <c r="D54" t="s">
        <v>13</v>
      </c>
      <c r="E54" t="s">
        <v>35</v>
      </c>
      <c r="F54" t="s">
        <v>39</v>
      </c>
      <c r="G54" t="s">
        <v>16</v>
      </c>
      <c r="H54" s="4">
        <v>5000</v>
      </c>
      <c r="I54">
        <v>2</v>
      </c>
      <c r="J54">
        <v>0</v>
      </c>
      <c r="K54">
        <v>10000</v>
      </c>
      <c r="L54">
        <v>2730.64</v>
      </c>
      <c r="M54" t="s">
        <v>33</v>
      </c>
    </row>
    <row r="55" spans="1:13" x14ac:dyDescent="0.25">
      <c r="A55" t="s">
        <v>207</v>
      </c>
      <c r="B55">
        <f t="shared" si="0"/>
        <v>1</v>
      </c>
      <c r="C55" s="5">
        <v>45734</v>
      </c>
      <c r="D55" t="s">
        <v>13</v>
      </c>
      <c r="E55" t="s">
        <v>20</v>
      </c>
      <c r="F55" t="s">
        <v>21</v>
      </c>
      <c r="G55" t="s">
        <v>41</v>
      </c>
      <c r="H55" s="4">
        <v>15000</v>
      </c>
      <c r="I55">
        <v>2</v>
      </c>
      <c r="J55">
        <v>0.15</v>
      </c>
      <c r="K55">
        <v>25500</v>
      </c>
      <c r="L55">
        <v>1446.86</v>
      </c>
      <c r="M55" t="s">
        <v>33</v>
      </c>
    </row>
    <row r="56" spans="1:13" x14ac:dyDescent="0.25">
      <c r="A56" t="s">
        <v>100</v>
      </c>
      <c r="B56">
        <f t="shared" si="0"/>
        <v>1</v>
      </c>
      <c r="C56" s="5">
        <v>45735</v>
      </c>
      <c r="D56" t="s">
        <v>13</v>
      </c>
      <c r="E56" t="s">
        <v>14</v>
      </c>
      <c r="F56" t="s">
        <v>101</v>
      </c>
      <c r="G56" t="s">
        <v>43</v>
      </c>
      <c r="H56" s="4">
        <v>65000</v>
      </c>
      <c r="I56">
        <v>2</v>
      </c>
      <c r="J56">
        <v>0.15</v>
      </c>
      <c r="K56">
        <v>110500</v>
      </c>
      <c r="L56">
        <v>0</v>
      </c>
      <c r="M56" t="s">
        <v>33</v>
      </c>
    </row>
    <row r="57" spans="1:13" x14ac:dyDescent="0.25">
      <c r="A57" t="s">
        <v>425</v>
      </c>
      <c r="B57">
        <f t="shared" si="0"/>
        <v>1</v>
      </c>
      <c r="C57" s="5">
        <v>45735</v>
      </c>
      <c r="D57" t="s">
        <v>65</v>
      </c>
      <c r="E57" t="s">
        <v>20</v>
      </c>
      <c r="F57" t="s">
        <v>49</v>
      </c>
      <c r="G57" t="s">
        <v>41</v>
      </c>
      <c r="H57" s="4">
        <v>15000</v>
      </c>
      <c r="I57">
        <v>1</v>
      </c>
      <c r="J57">
        <v>0.2</v>
      </c>
      <c r="K57">
        <v>12000</v>
      </c>
      <c r="L57">
        <v>3313.32</v>
      </c>
      <c r="M57" t="s">
        <v>33</v>
      </c>
    </row>
    <row r="58" spans="1:13" x14ac:dyDescent="0.25">
      <c r="A58" t="s">
        <v>173</v>
      </c>
      <c r="B58">
        <f t="shared" si="0"/>
        <v>1</v>
      </c>
      <c r="C58" s="5">
        <v>45736</v>
      </c>
      <c r="D58" t="s">
        <v>65</v>
      </c>
      <c r="E58" t="s">
        <v>14</v>
      </c>
      <c r="F58" t="s">
        <v>36</v>
      </c>
      <c r="G58" t="s">
        <v>29</v>
      </c>
      <c r="H58" s="4">
        <v>8000</v>
      </c>
      <c r="I58">
        <v>1</v>
      </c>
      <c r="J58">
        <v>0</v>
      </c>
      <c r="K58">
        <v>8000</v>
      </c>
      <c r="L58">
        <v>0</v>
      </c>
      <c r="M58" t="s">
        <v>33</v>
      </c>
    </row>
    <row r="59" spans="1:13" x14ac:dyDescent="0.25">
      <c r="A59" t="s">
        <v>206</v>
      </c>
      <c r="B59">
        <f t="shared" si="0"/>
        <v>1</v>
      </c>
      <c r="C59" s="5">
        <v>45736</v>
      </c>
      <c r="D59" t="s">
        <v>24</v>
      </c>
      <c r="E59" t="s">
        <v>20</v>
      </c>
      <c r="F59" t="s">
        <v>39</v>
      </c>
      <c r="G59" t="s">
        <v>29</v>
      </c>
      <c r="H59" s="4">
        <v>8000</v>
      </c>
      <c r="I59">
        <v>2</v>
      </c>
      <c r="J59">
        <v>0.15</v>
      </c>
      <c r="K59">
        <v>13600</v>
      </c>
      <c r="L59">
        <v>2514.13</v>
      </c>
      <c r="M59" t="s">
        <v>33</v>
      </c>
    </row>
    <row r="60" spans="1:13" x14ac:dyDescent="0.25">
      <c r="A60" t="s">
        <v>251</v>
      </c>
      <c r="B60">
        <f t="shared" si="0"/>
        <v>1</v>
      </c>
      <c r="C60" s="5">
        <v>45741</v>
      </c>
      <c r="D60" t="s">
        <v>13</v>
      </c>
      <c r="E60" t="s">
        <v>20</v>
      </c>
      <c r="F60" t="s">
        <v>36</v>
      </c>
      <c r="G60" t="s">
        <v>16</v>
      </c>
      <c r="H60" s="4">
        <v>5000</v>
      </c>
      <c r="I60">
        <v>3</v>
      </c>
      <c r="J60">
        <v>0.2</v>
      </c>
      <c r="K60">
        <v>12000</v>
      </c>
      <c r="L60">
        <v>1133.6199999999999</v>
      </c>
      <c r="M60" t="s">
        <v>33</v>
      </c>
    </row>
    <row r="61" spans="1:13" x14ac:dyDescent="0.25">
      <c r="A61" t="s">
        <v>172</v>
      </c>
      <c r="B61">
        <f t="shared" si="0"/>
        <v>1</v>
      </c>
      <c r="C61" s="5">
        <v>45746</v>
      </c>
      <c r="D61" t="s">
        <v>19</v>
      </c>
      <c r="E61" t="s">
        <v>25</v>
      </c>
      <c r="F61" t="s">
        <v>15</v>
      </c>
      <c r="G61" t="s">
        <v>29</v>
      </c>
      <c r="H61" s="4">
        <v>8000</v>
      </c>
      <c r="I61">
        <v>2</v>
      </c>
      <c r="J61">
        <v>0</v>
      </c>
      <c r="K61">
        <v>16000</v>
      </c>
      <c r="L61">
        <v>1577.01</v>
      </c>
      <c r="M61" t="s">
        <v>33</v>
      </c>
    </row>
    <row r="62" spans="1:13" x14ac:dyDescent="0.25">
      <c r="A62" t="s">
        <v>168</v>
      </c>
      <c r="B62">
        <f t="shared" si="0"/>
        <v>1</v>
      </c>
      <c r="C62" s="5">
        <v>45751</v>
      </c>
      <c r="D62" t="s">
        <v>13</v>
      </c>
      <c r="E62" t="s">
        <v>20</v>
      </c>
      <c r="F62" t="s">
        <v>15</v>
      </c>
      <c r="G62" t="s">
        <v>43</v>
      </c>
      <c r="H62" s="4">
        <v>65000</v>
      </c>
      <c r="I62">
        <v>2</v>
      </c>
      <c r="J62">
        <v>0</v>
      </c>
      <c r="K62">
        <v>130000</v>
      </c>
      <c r="L62">
        <v>3412.81</v>
      </c>
      <c r="M62" t="s">
        <v>33</v>
      </c>
    </row>
    <row r="63" spans="1:13" x14ac:dyDescent="0.25">
      <c r="A63" t="s">
        <v>216</v>
      </c>
      <c r="B63">
        <f t="shared" si="0"/>
        <v>1</v>
      </c>
      <c r="C63" s="5">
        <v>45755</v>
      </c>
      <c r="D63" t="s">
        <v>13</v>
      </c>
      <c r="E63" t="s">
        <v>14</v>
      </c>
      <c r="F63" t="s">
        <v>21</v>
      </c>
      <c r="G63" t="s">
        <v>29</v>
      </c>
      <c r="H63" s="4">
        <v>8000</v>
      </c>
      <c r="I63">
        <v>1</v>
      </c>
      <c r="J63">
        <v>0</v>
      </c>
      <c r="K63">
        <v>8000</v>
      </c>
      <c r="L63">
        <v>0</v>
      </c>
      <c r="M63" t="s">
        <v>17</v>
      </c>
    </row>
    <row r="64" spans="1:13" x14ac:dyDescent="0.25">
      <c r="A64" t="s">
        <v>104</v>
      </c>
      <c r="B64">
        <f t="shared" si="0"/>
        <v>1</v>
      </c>
      <c r="C64" s="5">
        <v>45757</v>
      </c>
      <c r="D64" t="s">
        <v>24</v>
      </c>
      <c r="E64" t="s">
        <v>32</v>
      </c>
      <c r="F64" t="s">
        <v>15</v>
      </c>
      <c r="G64" t="s">
        <v>22</v>
      </c>
      <c r="H64" s="4">
        <v>35000</v>
      </c>
      <c r="I64">
        <v>1</v>
      </c>
      <c r="J64">
        <v>0.15</v>
      </c>
      <c r="K64">
        <v>29750</v>
      </c>
      <c r="L64">
        <v>1056.3399999999999</v>
      </c>
      <c r="M64" t="s">
        <v>17</v>
      </c>
    </row>
    <row r="65" spans="1:13" x14ac:dyDescent="0.25">
      <c r="A65" t="s">
        <v>361</v>
      </c>
      <c r="B65">
        <f t="shared" si="0"/>
        <v>1</v>
      </c>
      <c r="C65" s="5">
        <v>45757</v>
      </c>
      <c r="D65" t="s">
        <v>65</v>
      </c>
      <c r="E65" t="s">
        <v>35</v>
      </c>
      <c r="F65" t="s">
        <v>15</v>
      </c>
      <c r="G65" t="s">
        <v>43</v>
      </c>
      <c r="H65" s="4">
        <v>65000</v>
      </c>
      <c r="I65">
        <v>2</v>
      </c>
      <c r="J65">
        <v>0.1</v>
      </c>
      <c r="K65">
        <v>117000</v>
      </c>
      <c r="L65">
        <v>1840.84</v>
      </c>
      <c r="M65" t="s">
        <v>17</v>
      </c>
    </row>
    <row r="66" spans="1:13" x14ac:dyDescent="0.25">
      <c r="A66" t="s">
        <v>393</v>
      </c>
      <c r="B66">
        <f t="shared" ref="B66:B129" si="1">COUNTIF($A:$A,A66)</f>
        <v>1</v>
      </c>
      <c r="C66" s="5">
        <v>45757</v>
      </c>
      <c r="D66" t="s">
        <v>13</v>
      </c>
      <c r="E66" t="s">
        <v>20</v>
      </c>
      <c r="F66" t="s">
        <v>15</v>
      </c>
      <c r="G66" t="s">
        <v>43</v>
      </c>
      <c r="H66" s="4">
        <v>65000</v>
      </c>
      <c r="I66">
        <v>2</v>
      </c>
      <c r="J66">
        <v>0</v>
      </c>
      <c r="K66">
        <v>130000</v>
      </c>
      <c r="L66">
        <v>711.74</v>
      </c>
      <c r="M66" t="s">
        <v>17</v>
      </c>
    </row>
    <row r="67" spans="1:13" x14ac:dyDescent="0.25">
      <c r="A67" t="s">
        <v>320</v>
      </c>
      <c r="B67">
        <f t="shared" si="1"/>
        <v>1</v>
      </c>
      <c r="C67" s="5">
        <v>45758</v>
      </c>
      <c r="D67" t="s">
        <v>19</v>
      </c>
      <c r="E67" t="s">
        <v>38</v>
      </c>
      <c r="F67" t="s">
        <v>15</v>
      </c>
      <c r="G67" t="s">
        <v>41</v>
      </c>
      <c r="H67" s="4">
        <v>15000</v>
      </c>
      <c r="I67">
        <v>2</v>
      </c>
      <c r="J67">
        <v>0.1</v>
      </c>
      <c r="K67">
        <v>27000</v>
      </c>
      <c r="L67">
        <v>0</v>
      </c>
      <c r="M67" t="s">
        <v>17</v>
      </c>
    </row>
    <row r="68" spans="1:13" x14ac:dyDescent="0.25">
      <c r="A68" t="s">
        <v>117</v>
      </c>
      <c r="B68">
        <f t="shared" si="1"/>
        <v>1</v>
      </c>
      <c r="C68" s="5">
        <v>45759</v>
      </c>
      <c r="D68" t="s">
        <v>19</v>
      </c>
      <c r="E68" t="s">
        <v>14</v>
      </c>
      <c r="F68" t="s">
        <v>15</v>
      </c>
      <c r="G68" t="s">
        <v>41</v>
      </c>
      <c r="H68" s="4">
        <v>15000</v>
      </c>
      <c r="I68">
        <v>1</v>
      </c>
      <c r="J68">
        <v>0</v>
      </c>
      <c r="K68">
        <v>15000</v>
      </c>
      <c r="L68">
        <v>0</v>
      </c>
      <c r="M68" t="s">
        <v>33</v>
      </c>
    </row>
    <row r="69" spans="1:13" x14ac:dyDescent="0.25">
      <c r="A69" t="s">
        <v>299</v>
      </c>
      <c r="B69">
        <f t="shared" si="1"/>
        <v>1</v>
      </c>
      <c r="C69" s="5">
        <v>45760</v>
      </c>
      <c r="D69" t="s">
        <v>19</v>
      </c>
      <c r="E69" t="s">
        <v>35</v>
      </c>
      <c r="F69" t="s">
        <v>26</v>
      </c>
      <c r="G69" t="s">
        <v>41</v>
      </c>
      <c r="H69" s="4">
        <v>15000</v>
      </c>
      <c r="I69">
        <v>2</v>
      </c>
      <c r="J69">
        <v>0.1</v>
      </c>
      <c r="K69">
        <v>27000</v>
      </c>
      <c r="L69">
        <v>1475.2</v>
      </c>
      <c r="M69" t="s">
        <v>33</v>
      </c>
    </row>
    <row r="70" spans="1:13" x14ac:dyDescent="0.25">
      <c r="A70" t="s">
        <v>341</v>
      </c>
      <c r="B70">
        <f t="shared" si="1"/>
        <v>1</v>
      </c>
      <c r="C70" s="5">
        <v>45760</v>
      </c>
      <c r="D70" t="s">
        <v>24</v>
      </c>
      <c r="E70" t="s">
        <v>14</v>
      </c>
      <c r="F70" t="s">
        <v>26</v>
      </c>
      <c r="G70" t="s">
        <v>41</v>
      </c>
      <c r="H70" s="4">
        <v>15000</v>
      </c>
      <c r="I70">
        <v>1</v>
      </c>
      <c r="J70">
        <v>0</v>
      </c>
      <c r="K70">
        <v>15000</v>
      </c>
      <c r="L70">
        <v>0</v>
      </c>
      <c r="M70" t="s">
        <v>33</v>
      </c>
    </row>
    <row r="71" spans="1:13" x14ac:dyDescent="0.25">
      <c r="A71" t="s">
        <v>382</v>
      </c>
      <c r="B71">
        <f t="shared" si="1"/>
        <v>1</v>
      </c>
      <c r="C71" s="5">
        <v>45760</v>
      </c>
      <c r="D71" t="s">
        <v>13</v>
      </c>
      <c r="E71" t="s">
        <v>14</v>
      </c>
      <c r="F71" t="s">
        <v>39</v>
      </c>
      <c r="G71" t="s">
        <v>41</v>
      </c>
      <c r="H71" s="4">
        <v>15000</v>
      </c>
      <c r="I71">
        <v>1</v>
      </c>
      <c r="J71">
        <v>0.2</v>
      </c>
      <c r="K71">
        <v>12000</v>
      </c>
      <c r="L71">
        <v>0</v>
      </c>
      <c r="M71" t="s">
        <v>17</v>
      </c>
    </row>
    <row r="72" spans="1:13" x14ac:dyDescent="0.25">
      <c r="A72" t="s">
        <v>347</v>
      </c>
      <c r="B72">
        <f t="shared" si="1"/>
        <v>1</v>
      </c>
      <c r="C72" s="5">
        <v>45763</v>
      </c>
      <c r="D72" t="s">
        <v>19</v>
      </c>
      <c r="E72" t="s">
        <v>20</v>
      </c>
      <c r="F72" t="s">
        <v>39</v>
      </c>
      <c r="G72" t="s">
        <v>43</v>
      </c>
      <c r="H72" s="4">
        <v>65000</v>
      </c>
      <c r="I72">
        <v>2</v>
      </c>
      <c r="J72">
        <v>0</v>
      </c>
      <c r="K72">
        <v>130000</v>
      </c>
      <c r="L72">
        <v>1363.45</v>
      </c>
      <c r="M72" t="s">
        <v>17</v>
      </c>
    </row>
    <row r="73" spans="1:13" x14ac:dyDescent="0.25">
      <c r="A73" t="s">
        <v>316</v>
      </c>
      <c r="B73">
        <f t="shared" si="1"/>
        <v>1</v>
      </c>
      <c r="C73" s="5">
        <v>45765</v>
      </c>
      <c r="D73" t="s">
        <v>31</v>
      </c>
      <c r="E73" t="s">
        <v>35</v>
      </c>
      <c r="F73" t="s">
        <v>21</v>
      </c>
      <c r="G73" t="s">
        <v>41</v>
      </c>
      <c r="H73" s="4">
        <v>15000</v>
      </c>
      <c r="I73">
        <v>1</v>
      </c>
      <c r="J73">
        <v>0.15</v>
      </c>
      <c r="K73">
        <v>12750</v>
      </c>
      <c r="L73">
        <v>521.58000000000004</v>
      </c>
      <c r="M73" t="s">
        <v>33</v>
      </c>
    </row>
    <row r="74" spans="1:13" x14ac:dyDescent="0.25">
      <c r="A74" t="s">
        <v>358</v>
      </c>
      <c r="B74">
        <f t="shared" si="1"/>
        <v>1</v>
      </c>
      <c r="C74" s="5">
        <v>45766</v>
      </c>
      <c r="D74" t="s">
        <v>24</v>
      </c>
      <c r="E74" t="s">
        <v>25</v>
      </c>
      <c r="F74" t="s">
        <v>15</v>
      </c>
      <c r="G74" t="s">
        <v>41</v>
      </c>
      <c r="H74" s="4">
        <v>15000</v>
      </c>
      <c r="I74">
        <v>2</v>
      </c>
      <c r="J74">
        <v>0.1</v>
      </c>
      <c r="K74">
        <v>27000</v>
      </c>
      <c r="L74">
        <v>683.63</v>
      </c>
      <c r="M74" t="s">
        <v>33</v>
      </c>
    </row>
    <row r="75" spans="1:13" x14ac:dyDescent="0.25">
      <c r="A75" t="s">
        <v>338</v>
      </c>
      <c r="B75">
        <f t="shared" si="1"/>
        <v>1</v>
      </c>
      <c r="C75" s="5">
        <v>45767</v>
      </c>
      <c r="D75" t="s">
        <v>65</v>
      </c>
      <c r="E75" t="s">
        <v>20</v>
      </c>
      <c r="F75" t="s">
        <v>15</v>
      </c>
      <c r="G75" t="s">
        <v>22</v>
      </c>
      <c r="H75" s="4">
        <v>35000</v>
      </c>
      <c r="I75">
        <v>1</v>
      </c>
      <c r="J75">
        <v>0</v>
      </c>
      <c r="K75">
        <v>35000</v>
      </c>
      <c r="L75">
        <v>206.99</v>
      </c>
      <c r="M75" t="s">
        <v>33</v>
      </c>
    </row>
    <row r="76" spans="1:13" x14ac:dyDescent="0.25">
      <c r="A76" t="s">
        <v>318</v>
      </c>
      <c r="B76">
        <f t="shared" si="1"/>
        <v>1</v>
      </c>
      <c r="C76" s="5">
        <v>45770</v>
      </c>
      <c r="D76" t="s">
        <v>31</v>
      </c>
      <c r="E76" t="s">
        <v>35</v>
      </c>
      <c r="F76" t="s">
        <v>15</v>
      </c>
      <c r="G76" t="s">
        <v>43</v>
      </c>
      <c r="H76" s="4">
        <v>65000</v>
      </c>
      <c r="I76">
        <v>1</v>
      </c>
      <c r="J76">
        <v>0</v>
      </c>
      <c r="K76">
        <v>65000</v>
      </c>
      <c r="L76">
        <v>844.49</v>
      </c>
      <c r="M76" t="s">
        <v>17</v>
      </c>
    </row>
    <row r="77" spans="1:13" x14ac:dyDescent="0.25">
      <c r="A77" t="s">
        <v>411</v>
      </c>
      <c r="B77">
        <f t="shared" si="1"/>
        <v>1</v>
      </c>
      <c r="C77" s="5">
        <v>45773</v>
      </c>
      <c r="D77" t="s">
        <v>65</v>
      </c>
      <c r="E77" t="s">
        <v>32</v>
      </c>
      <c r="F77" t="s">
        <v>26</v>
      </c>
      <c r="G77" t="s">
        <v>29</v>
      </c>
      <c r="H77" s="4">
        <v>8000</v>
      </c>
      <c r="I77">
        <v>3</v>
      </c>
      <c r="J77">
        <v>0.05</v>
      </c>
      <c r="K77">
        <v>22800</v>
      </c>
      <c r="L77">
        <v>736.48</v>
      </c>
      <c r="M77" t="s">
        <v>33</v>
      </c>
    </row>
    <row r="78" spans="1:13" x14ac:dyDescent="0.25">
      <c r="A78" t="s">
        <v>72</v>
      </c>
      <c r="B78">
        <f t="shared" si="1"/>
        <v>1</v>
      </c>
      <c r="C78" s="5">
        <v>45775</v>
      </c>
      <c r="D78" t="s">
        <v>24</v>
      </c>
      <c r="E78" t="s">
        <v>20</v>
      </c>
      <c r="F78" t="s">
        <v>15</v>
      </c>
      <c r="G78" t="s">
        <v>22</v>
      </c>
      <c r="H78" s="4">
        <v>35000</v>
      </c>
      <c r="I78">
        <v>1</v>
      </c>
      <c r="J78">
        <v>0</v>
      </c>
      <c r="K78">
        <v>35000</v>
      </c>
      <c r="L78">
        <v>2113.27</v>
      </c>
      <c r="M78" t="s">
        <v>33</v>
      </c>
    </row>
    <row r="79" spans="1:13" x14ac:dyDescent="0.25">
      <c r="A79" t="s">
        <v>42</v>
      </c>
      <c r="B79">
        <f t="shared" si="1"/>
        <v>1</v>
      </c>
      <c r="C79" s="5">
        <v>45776</v>
      </c>
      <c r="D79" t="s">
        <v>31</v>
      </c>
      <c r="E79" t="s">
        <v>25</v>
      </c>
      <c r="F79" t="s">
        <v>36</v>
      </c>
      <c r="G79" t="s">
        <v>43</v>
      </c>
      <c r="H79" s="4">
        <v>65000</v>
      </c>
      <c r="I79">
        <v>2</v>
      </c>
      <c r="J79">
        <v>0.1</v>
      </c>
      <c r="K79">
        <v>117000</v>
      </c>
      <c r="L79">
        <v>1213.8900000000001</v>
      </c>
      <c r="M79" t="s">
        <v>17</v>
      </c>
    </row>
    <row r="80" spans="1:13" x14ac:dyDescent="0.25">
      <c r="A80" t="s">
        <v>314</v>
      </c>
      <c r="B80">
        <f t="shared" si="1"/>
        <v>1</v>
      </c>
      <c r="C80" s="5">
        <v>45776</v>
      </c>
      <c r="D80" t="s">
        <v>31</v>
      </c>
      <c r="E80" t="s">
        <v>25</v>
      </c>
      <c r="F80" t="s">
        <v>39</v>
      </c>
      <c r="G80" t="s">
        <v>29</v>
      </c>
      <c r="H80" s="4">
        <v>8000</v>
      </c>
      <c r="I80">
        <v>3</v>
      </c>
      <c r="J80">
        <v>0.2</v>
      </c>
      <c r="K80">
        <v>19200</v>
      </c>
      <c r="L80">
        <v>2849.38</v>
      </c>
      <c r="M80" t="s">
        <v>33</v>
      </c>
    </row>
    <row r="81" spans="1:13" x14ac:dyDescent="0.25">
      <c r="A81" t="s">
        <v>377</v>
      </c>
      <c r="B81">
        <f t="shared" si="1"/>
        <v>1</v>
      </c>
      <c r="C81" s="5">
        <v>45777</v>
      </c>
      <c r="D81" t="s">
        <v>65</v>
      </c>
      <c r="E81" t="s">
        <v>28</v>
      </c>
      <c r="F81" t="s">
        <v>49</v>
      </c>
      <c r="G81" t="s">
        <v>16</v>
      </c>
      <c r="H81" s="4">
        <v>5000</v>
      </c>
      <c r="I81">
        <v>1</v>
      </c>
      <c r="J81">
        <v>0</v>
      </c>
      <c r="K81">
        <v>5000</v>
      </c>
      <c r="L81">
        <v>0</v>
      </c>
      <c r="M81" t="s">
        <v>17</v>
      </c>
    </row>
    <row r="82" spans="1:13" x14ac:dyDescent="0.25">
      <c r="A82" t="s">
        <v>92</v>
      </c>
      <c r="B82">
        <f t="shared" si="1"/>
        <v>1</v>
      </c>
      <c r="C82" s="5">
        <v>45778</v>
      </c>
      <c r="D82" t="s">
        <v>13</v>
      </c>
      <c r="E82" t="s">
        <v>32</v>
      </c>
      <c r="F82" t="s">
        <v>26</v>
      </c>
      <c r="G82" t="s">
        <v>22</v>
      </c>
      <c r="H82" s="4">
        <v>35000</v>
      </c>
      <c r="I82">
        <v>2</v>
      </c>
      <c r="J82">
        <v>0.05</v>
      </c>
      <c r="K82">
        <v>66500</v>
      </c>
      <c r="L82">
        <v>3002.36</v>
      </c>
      <c r="M82" t="s">
        <v>17</v>
      </c>
    </row>
    <row r="83" spans="1:13" x14ac:dyDescent="0.25">
      <c r="A83" t="s">
        <v>322</v>
      </c>
      <c r="B83">
        <f t="shared" si="1"/>
        <v>1</v>
      </c>
      <c r="C83" s="5">
        <v>45778</v>
      </c>
      <c r="D83" t="s">
        <v>31</v>
      </c>
      <c r="E83" t="s">
        <v>25</v>
      </c>
      <c r="F83" t="s">
        <v>15</v>
      </c>
      <c r="G83" t="s">
        <v>29</v>
      </c>
      <c r="H83" s="4">
        <v>8000</v>
      </c>
      <c r="I83">
        <v>2</v>
      </c>
      <c r="J83">
        <v>0</v>
      </c>
      <c r="K83">
        <v>16000</v>
      </c>
      <c r="L83">
        <v>1100.49</v>
      </c>
      <c r="M83" t="s">
        <v>33</v>
      </c>
    </row>
    <row r="84" spans="1:13" x14ac:dyDescent="0.25">
      <c r="A84" t="s">
        <v>342</v>
      </c>
      <c r="B84">
        <f t="shared" si="1"/>
        <v>1</v>
      </c>
      <c r="C84" s="5">
        <v>45778</v>
      </c>
      <c r="D84" t="s">
        <v>13</v>
      </c>
      <c r="E84" t="s">
        <v>25</v>
      </c>
      <c r="F84" t="s">
        <v>49</v>
      </c>
      <c r="G84" t="s">
        <v>22</v>
      </c>
      <c r="H84" s="4">
        <v>35000</v>
      </c>
      <c r="I84">
        <v>2</v>
      </c>
      <c r="J84">
        <v>0</v>
      </c>
      <c r="K84">
        <v>70000</v>
      </c>
      <c r="L84">
        <v>1852.05</v>
      </c>
      <c r="M84" t="s">
        <v>33</v>
      </c>
    </row>
    <row r="85" spans="1:13" x14ac:dyDescent="0.25">
      <c r="A85" t="s">
        <v>147</v>
      </c>
      <c r="B85">
        <f t="shared" si="1"/>
        <v>1</v>
      </c>
      <c r="C85" s="5">
        <v>45779</v>
      </c>
      <c r="D85" t="s">
        <v>13</v>
      </c>
      <c r="E85" t="s">
        <v>25</v>
      </c>
      <c r="F85" t="s">
        <v>15</v>
      </c>
      <c r="G85" t="s">
        <v>41</v>
      </c>
      <c r="H85" s="4">
        <v>15000</v>
      </c>
      <c r="I85">
        <v>1</v>
      </c>
      <c r="J85">
        <v>0</v>
      </c>
      <c r="K85">
        <v>15000</v>
      </c>
      <c r="L85">
        <v>2623.64</v>
      </c>
      <c r="M85" t="s">
        <v>33</v>
      </c>
    </row>
    <row r="86" spans="1:13" x14ac:dyDescent="0.25">
      <c r="A86" t="s">
        <v>153</v>
      </c>
      <c r="B86">
        <f t="shared" si="1"/>
        <v>1</v>
      </c>
      <c r="C86" s="5">
        <v>45779</v>
      </c>
      <c r="D86" t="s">
        <v>63</v>
      </c>
      <c r="E86" t="s">
        <v>38</v>
      </c>
      <c r="F86" t="s">
        <v>21</v>
      </c>
      <c r="G86" t="s">
        <v>22</v>
      </c>
      <c r="H86" s="4">
        <v>35000</v>
      </c>
      <c r="I86">
        <v>1</v>
      </c>
      <c r="J86">
        <v>0.1</v>
      </c>
      <c r="K86">
        <v>31500</v>
      </c>
      <c r="L86">
        <v>0</v>
      </c>
      <c r="M86" t="s">
        <v>17</v>
      </c>
    </row>
    <row r="87" spans="1:13" x14ac:dyDescent="0.25">
      <c r="A87" t="s">
        <v>261</v>
      </c>
      <c r="B87">
        <f t="shared" si="1"/>
        <v>1</v>
      </c>
      <c r="C87" s="5">
        <v>45780</v>
      </c>
      <c r="D87" t="s">
        <v>24</v>
      </c>
      <c r="E87" t="s">
        <v>38</v>
      </c>
      <c r="F87" t="s">
        <v>26</v>
      </c>
      <c r="G87" t="s">
        <v>43</v>
      </c>
      <c r="H87" s="4">
        <v>65000</v>
      </c>
      <c r="I87">
        <v>1</v>
      </c>
      <c r="J87">
        <v>0</v>
      </c>
      <c r="K87">
        <v>65000</v>
      </c>
      <c r="L87">
        <v>0</v>
      </c>
      <c r="M87" t="s">
        <v>33</v>
      </c>
    </row>
    <row r="88" spans="1:13" x14ac:dyDescent="0.25">
      <c r="A88" t="s">
        <v>127</v>
      </c>
      <c r="B88">
        <f t="shared" si="1"/>
        <v>1</v>
      </c>
      <c r="C88" s="5">
        <v>45781</v>
      </c>
      <c r="D88" t="s">
        <v>24</v>
      </c>
      <c r="E88" t="s">
        <v>25</v>
      </c>
      <c r="F88" t="s">
        <v>36</v>
      </c>
      <c r="G88" t="s">
        <v>22</v>
      </c>
      <c r="H88" s="4">
        <v>35000</v>
      </c>
      <c r="I88">
        <v>1</v>
      </c>
      <c r="J88">
        <v>0</v>
      </c>
      <c r="K88">
        <v>35000</v>
      </c>
      <c r="L88">
        <v>2431.9499999999998</v>
      </c>
      <c r="M88" t="s">
        <v>17</v>
      </c>
    </row>
    <row r="89" spans="1:13" x14ac:dyDescent="0.25">
      <c r="A89" t="s">
        <v>283</v>
      </c>
      <c r="B89">
        <f t="shared" si="1"/>
        <v>1</v>
      </c>
      <c r="C89" s="5">
        <v>45782</v>
      </c>
      <c r="D89" t="s">
        <v>19</v>
      </c>
      <c r="E89" t="s">
        <v>35</v>
      </c>
      <c r="F89" t="s">
        <v>26</v>
      </c>
      <c r="G89" t="s">
        <v>16</v>
      </c>
      <c r="H89" s="4">
        <v>5000</v>
      </c>
      <c r="I89">
        <v>2</v>
      </c>
      <c r="J89">
        <v>0.15</v>
      </c>
      <c r="K89">
        <v>8500</v>
      </c>
      <c r="L89">
        <v>2715.99</v>
      </c>
      <c r="M89" t="s">
        <v>17</v>
      </c>
    </row>
    <row r="90" spans="1:13" x14ac:dyDescent="0.25">
      <c r="A90" t="s">
        <v>353</v>
      </c>
      <c r="B90">
        <f t="shared" si="1"/>
        <v>1</v>
      </c>
      <c r="C90" s="5">
        <v>45782</v>
      </c>
      <c r="D90" t="s">
        <v>24</v>
      </c>
      <c r="E90" t="s">
        <v>14</v>
      </c>
      <c r="F90" t="s">
        <v>15</v>
      </c>
      <c r="G90" t="s">
        <v>41</v>
      </c>
      <c r="H90" s="4">
        <v>15000</v>
      </c>
      <c r="I90">
        <v>3</v>
      </c>
      <c r="J90">
        <v>0</v>
      </c>
      <c r="K90">
        <v>45000</v>
      </c>
      <c r="L90">
        <v>0</v>
      </c>
      <c r="M90" t="s">
        <v>17</v>
      </c>
    </row>
    <row r="91" spans="1:13" x14ac:dyDescent="0.25">
      <c r="A91" t="s">
        <v>210</v>
      </c>
      <c r="B91">
        <f t="shared" si="1"/>
        <v>1</v>
      </c>
      <c r="C91" s="5">
        <v>45784</v>
      </c>
      <c r="D91" t="s">
        <v>31</v>
      </c>
      <c r="E91" t="s">
        <v>14</v>
      </c>
      <c r="F91" t="s">
        <v>26</v>
      </c>
      <c r="G91" t="s">
        <v>43</v>
      </c>
      <c r="H91" s="4">
        <v>65000</v>
      </c>
      <c r="I91">
        <v>2</v>
      </c>
      <c r="J91">
        <v>0.15</v>
      </c>
      <c r="K91">
        <v>110500</v>
      </c>
      <c r="L91">
        <v>0</v>
      </c>
      <c r="M91" t="s">
        <v>33</v>
      </c>
    </row>
    <row r="92" spans="1:13" x14ac:dyDescent="0.25">
      <c r="A92" t="s">
        <v>253</v>
      </c>
      <c r="B92">
        <f t="shared" si="1"/>
        <v>1</v>
      </c>
      <c r="C92" s="5">
        <v>45786</v>
      </c>
      <c r="D92" t="s">
        <v>13</v>
      </c>
      <c r="E92" t="s">
        <v>14</v>
      </c>
      <c r="F92" t="s">
        <v>26</v>
      </c>
      <c r="G92" t="s">
        <v>16</v>
      </c>
      <c r="H92" s="4">
        <v>5000</v>
      </c>
      <c r="I92">
        <v>2</v>
      </c>
      <c r="J92">
        <v>0.2</v>
      </c>
      <c r="K92">
        <v>8000</v>
      </c>
      <c r="L92">
        <v>0</v>
      </c>
      <c r="M92" t="s">
        <v>17</v>
      </c>
    </row>
    <row r="93" spans="1:13" x14ac:dyDescent="0.25">
      <c r="A93" t="s">
        <v>27</v>
      </c>
      <c r="B93">
        <f t="shared" si="1"/>
        <v>1</v>
      </c>
      <c r="C93" s="5">
        <v>45789</v>
      </c>
      <c r="D93" t="s">
        <v>19</v>
      </c>
      <c r="E93" t="s">
        <v>28</v>
      </c>
      <c r="F93" t="s">
        <v>21</v>
      </c>
      <c r="G93" t="s">
        <v>29</v>
      </c>
      <c r="H93" s="4">
        <v>8000</v>
      </c>
      <c r="I93">
        <v>2</v>
      </c>
      <c r="J93">
        <v>0</v>
      </c>
      <c r="K93">
        <v>16000</v>
      </c>
      <c r="L93">
        <v>0</v>
      </c>
      <c r="M93" t="s">
        <v>17</v>
      </c>
    </row>
    <row r="94" spans="1:13" x14ac:dyDescent="0.25">
      <c r="A94" t="s">
        <v>280</v>
      </c>
      <c r="B94">
        <f t="shared" si="1"/>
        <v>1</v>
      </c>
      <c r="C94" s="5">
        <v>45789</v>
      </c>
      <c r="D94" t="s">
        <v>19</v>
      </c>
      <c r="E94" t="s">
        <v>38</v>
      </c>
      <c r="F94" t="s">
        <v>15</v>
      </c>
      <c r="G94" t="s">
        <v>43</v>
      </c>
      <c r="H94" s="4">
        <v>65000</v>
      </c>
      <c r="I94">
        <v>1</v>
      </c>
      <c r="J94">
        <v>0.1</v>
      </c>
      <c r="K94">
        <v>58500</v>
      </c>
      <c r="L94">
        <v>0</v>
      </c>
      <c r="M94" t="s">
        <v>33</v>
      </c>
    </row>
    <row r="95" spans="1:13" x14ac:dyDescent="0.25">
      <c r="A95" t="s">
        <v>291</v>
      </c>
      <c r="B95">
        <f t="shared" si="1"/>
        <v>1</v>
      </c>
      <c r="C95" s="5">
        <v>45789</v>
      </c>
      <c r="D95" t="s">
        <v>31</v>
      </c>
      <c r="E95" t="s">
        <v>25</v>
      </c>
      <c r="F95" t="s">
        <v>21</v>
      </c>
      <c r="G95" t="s">
        <v>43</v>
      </c>
      <c r="H95" s="4">
        <v>65000</v>
      </c>
      <c r="I95">
        <v>1</v>
      </c>
      <c r="J95">
        <v>0.2</v>
      </c>
      <c r="K95">
        <v>52000</v>
      </c>
      <c r="L95">
        <v>588.22</v>
      </c>
      <c r="M95" t="s">
        <v>33</v>
      </c>
    </row>
    <row r="96" spans="1:13" x14ac:dyDescent="0.25">
      <c r="A96" t="s">
        <v>333</v>
      </c>
      <c r="B96">
        <f t="shared" si="1"/>
        <v>1</v>
      </c>
      <c r="C96" s="5">
        <v>45789</v>
      </c>
      <c r="D96" t="s">
        <v>13</v>
      </c>
      <c r="E96" t="s">
        <v>28</v>
      </c>
      <c r="F96" t="s">
        <v>15</v>
      </c>
      <c r="G96" t="s">
        <v>29</v>
      </c>
      <c r="H96" s="4">
        <v>8000</v>
      </c>
      <c r="I96">
        <v>1</v>
      </c>
      <c r="J96">
        <v>0</v>
      </c>
      <c r="K96">
        <v>8000</v>
      </c>
      <c r="L96">
        <v>0</v>
      </c>
      <c r="M96" t="s">
        <v>17</v>
      </c>
    </row>
    <row r="97" spans="1:13" x14ac:dyDescent="0.25">
      <c r="A97" t="s">
        <v>242</v>
      </c>
      <c r="B97">
        <f t="shared" si="1"/>
        <v>1</v>
      </c>
      <c r="C97" s="5">
        <v>45790</v>
      </c>
      <c r="D97" t="s">
        <v>19</v>
      </c>
      <c r="E97" t="s">
        <v>32</v>
      </c>
      <c r="F97" t="s">
        <v>49</v>
      </c>
      <c r="G97" t="s">
        <v>29</v>
      </c>
      <c r="H97" s="4">
        <v>8000</v>
      </c>
      <c r="I97">
        <v>2</v>
      </c>
      <c r="J97">
        <v>0</v>
      </c>
      <c r="K97">
        <v>16000</v>
      </c>
      <c r="L97">
        <v>1364.12</v>
      </c>
      <c r="M97" t="s">
        <v>33</v>
      </c>
    </row>
    <row r="98" spans="1:13" x14ac:dyDescent="0.25">
      <c r="A98" t="s">
        <v>176</v>
      </c>
      <c r="B98">
        <f t="shared" si="1"/>
        <v>1</v>
      </c>
      <c r="C98" s="5">
        <v>45793</v>
      </c>
      <c r="D98" t="s">
        <v>24</v>
      </c>
      <c r="E98" t="s">
        <v>38</v>
      </c>
      <c r="F98" t="s">
        <v>36</v>
      </c>
      <c r="G98" t="s">
        <v>16</v>
      </c>
      <c r="H98" s="4">
        <v>5000</v>
      </c>
      <c r="I98">
        <v>2</v>
      </c>
      <c r="J98">
        <v>0</v>
      </c>
      <c r="K98">
        <v>10000</v>
      </c>
      <c r="L98">
        <v>0</v>
      </c>
      <c r="M98" t="s">
        <v>17</v>
      </c>
    </row>
    <row r="99" spans="1:13" x14ac:dyDescent="0.25">
      <c r="A99" t="s">
        <v>244</v>
      </c>
      <c r="B99">
        <f t="shared" si="1"/>
        <v>1</v>
      </c>
      <c r="C99" s="5">
        <v>45795</v>
      </c>
      <c r="D99" t="s">
        <v>63</v>
      </c>
      <c r="E99" t="s">
        <v>32</v>
      </c>
      <c r="F99" t="s">
        <v>15</v>
      </c>
      <c r="G99" t="s">
        <v>41</v>
      </c>
      <c r="H99" s="4">
        <v>15000</v>
      </c>
      <c r="I99">
        <v>1</v>
      </c>
      <c r="J99">
        <v>0</v>
      </c>
      <c r="K99">
        <v>15000</v>
      </c>
      <c r="L99">
        <v>2830.17</v>
      </c>
      <c r="M99" t="s">
        <v>33</v>
      </c>
    </row>
    <row r="100" spans="1:13" x14ac:dyDescent="0.25">
      <c r="A100" t="s">
        <v>205</v>
      </c>
      <c r="B100">
        <f t="shared" si="1"/>
        <v>1</v>
      </c>
      <c r="C100" s="5">
        <v>45799</v>
      </c>
      <c r="D100" t="s">
        <v>24</v>
      </c>
      <c r="E100" t="s">
        <v>14</v>
      </c>
      <c r="F100" t="s">
        <v>49</v>
      </c>
      <c r="G100" t="s">
        <v>16</v>
      </c>
      <c r="H100" s="4">
        <v>5000</v>
      </c>
      <c r="I100">
        <v>3</v>
      </c>
      <c r="J100">
        <v>0</v>
      </c>
      <c r="K100">
        <v>15000</v>
      </c>
      <c r="L100">
        <v>0</v>
      </c>
      <c r="M100" t="s">
        <v>33</v>
      </c>
    </row>
    <row r="101" spans="1:13" x14ac:dyDescent="0.25">
      <c r="A101" t="s">
        <v>235</v>
      </c>
      <c r="B101">
        <f t="shared" si="1"/>
        <v>1</v>
      </c>
      <c r="C101" s="5">
        <v>45799</v>
      </c>
      <c r="D101" t="s">
        <v>24</v>
      </c>
      <c r="E101" t="s">
        <v>32</v>
      </c>
      <c r="F101" t="s">
        <v>21</v>
      </c>
      <c r="G101" t="s">
        <v>43</v>
      </c>
      <c r="H101" s="4">
        <v>65000</v>
      </c>
      <c r="I101">
        <v>3</v>
      </c>
      <c r="J101">
        <v>0.15</v>
      </c>
      <c r="K101">
        <v>165750</v>
      </c>
      <c r="L101">
        <v>2146.59</v>
      </c>
      <c r="M101" t="s">
        <v>17</v>
      </c>
    </row>
    <row r="102" spans="1:13" x14ac:dyDescent="0.25">
      <c r="A102" t="s">
        <v>213</v>
      </c>
      <c r="B102">
        <f t="shared" si="1"/>
        <v>1</v>
      </c>
      <c r="C102" s="5">
        <v>45801</v>
      </c>
      <c r="D102" t="s">
        <v>65</v>
      </c>
      <c r="E102" t="s">
        <v>14</v>
      </c>
      <c r="F102" t="s">
        <v>26</v>
      </c>
      <c r="G102" t="s">
        <v>16</v>
      </c>
      <c r="H102" s="4">
        <v>5000</v>
      </c>
      <c r="I102">
        <v>2</v>
      </c>
      <c r="J102">
        <v>0</v>
      </c>
      <c r="K102">
        <v>10000</v>
      </c>
      <c r="L102">
        <v>0</v>
      </c>
      <c r="M102" t="s">
        <v>17</v>
      </c>
    </row>
    <row r="103" spans="1:13" x14ac:dyDescent="0.25">
      <c r="A103" t="s">
        <v>422</v>
      </c>
      <c r="B103">
        <f t="shared" si="1"/>
        <v>1</v>
      </c>
      <c r="C103" s="5">
        <v>45801</v>
      </c>
      <c r="D103" t="s">
        <v>19</v>
      </c>
      <c r="E103" t="s">
        <v>14</v>
      </c>
      <c r="F103" t="s">
        <v>26</v>
      </c>
      <c r="G103" t="s">
        <v>16</v>
      </c>
      <c r="H103" s="4">
        <v>5000</v>
      </c>
      <c r="I103">
        <v>2</v>
      </c>
      <c r="J103">
        <v>0</v>
      </c>
      <c r="K103">
        <v>10000</v>
      </c>
      <c r="L103">
        <v>0</v>
      </c>
      <c r="M103" t="s">
        <v>17</v>
      </c>
    </row>
    <row r="104" spans="1:13" x14ac:dyDescent="0.25">
      <c r="A104" t="s">
        <v>330</v>
      </c>
      <c r="B104">
        <f t="shared" si="1"/>
        <v>1</v>
      </c>
      <c r="C104" s="5">
        <v>45802</v>
      </c>
      <c r="D104" t="s">
        <v>19</v>
      </c>
      <c r="E104" t="s">
        <v>20</v>
      </c>
      <c r="F104" t="s">
        <v>36</v>
      </c>
      <c r="G104" t="s">
        <v>43</v>
      </c>
      <c r="H104" s="4">
        <v>65000</v>
      </c>
      <c r="I104">
        <v>2</v>
      </c>
      <c r="J104">
        <v>0.15</v>
      </c>
      <c r="K104">
        <v>110500</v>
      </c>
      <c r="L104">
        <v>1870.37</v>
      </c>
      <c r="M104" t="s">
        <v>17</v>
      </c>
    </row>
    <row r="105" spans="1:13" x14ac:dyDescent="0.25">
      <c r="A105" t="s">
        <v>220</v>
      </c>
      <c r="B105">
        <f t="shared" si="1"/>
        <v>1</v>
      </c>
      <c r="C105" s="5">
        <v>45804</v>
      </c>
      <c r="D105" t="s">
        <v>31</v>
      </c>
      <c r="E105" t="s">
        <v>20</v>
      </c>
      <c r="F105" t="s">
        <v>15</v>
      </c>
      <c r="G105" t="s">
        <v>41</v>
      </c>
      <c r="H105" s="4">
        <v>15000</v>
      </c>
      <c r="I105">
        <v>3</v>
      </c>
      <c r="J105">
        <v>0.2</v>
      </c>
      <c r="K105">
        <v>36000</v>
      </c>
      <c r="L105">
        <v>211.9</v>
      </c>
      <c r="M105" t="s">
        <v>33</v>
      </c>
    </row>
    <row r="106" spans="1:13" x14ac:dyDescent="0.25">
      <c r="A106" t="s">
        <v>459</v>
      </c>
      <c r="B106">
        <f t="shared" si="1"/>
        <v>1</v>
      </c>
      <c r="C106" s="5">
        <v>45804</v>
      </c>
      <c r="D106" t="s">
        <v>19</v>
      </c>
      <c r="E106" t="s">
        <v>25</v>
      </c>
      <c r="F106" t="s">
        <v>26</v>
      </c>
      <c r="G106" t="s">
        <v>43</v>
      </c>
      <c r="H106" s="4">
        <v>65000</v>
      </c>
      <c r="I106">
        <v>2</v>
      </c>
      <c r="J106">
        <v>0.05</v>
      </c>
      <c r="K106">
        <v>123500</v>
      </c>
      <c r="L106">
        <v>479.26</v>
      </c>
      <c r="M106" t="s">
        <v>17</v>
      </c>
    </row>
    <row r="107" spans="1:13" x14ac:dyDescent="0.25">
      <c r="A107" t="s">
        <v>67</v>
      </c>
      <c r="B107">
        <f t="shared" si="1"/>
        <v>1</v>
      </c>
      <c r="C107" s="5">
        <v>45807</v>
      </c>
      <c r="D107" t="s">
        <v>31</v>
      </c>
      <c r="E107" t="s">
        <v>32</v>
      </c>
      <c r="F107" t="s">
        <v>36</v>
      </c>
      <c r="G107" t="s">
        <v>41</v>
      </c>
      <c r="H107" s="4">
        <v>15000</v>
      </c>
      <c r="I107">
        <v>1</v>
      </c>
      <c r="J107">
        <v>0.15</v>
      </c>
      <c r="K107">
        <v>12750</v>
      </c>
      <c r="L107">
        <v>994.84</v>
      </c>
      <c r="M107" t="s">
        <v>17</v>
      </c>
    </row>
    <row r="108" spans="1:13" x14ac:dyDescent="0.25">
      <c r="A108" t="s">
        <v>224</v>
      </c>
      <c r="B108">
        <f t="shared" si="1"/>
        <v>1</v>
      </c>
      <c r="C108" s="5">
        <v>45807</v>
      </c>
      <c r="D108" t="s">
        <v>31</v>
      </c>
      <c r="E108" t="s">
        <v>14</v>
      </c>
      <c r="F108" t="s">
        <v>36</v>
      </c>
      <c r="G108" t="s">
        <v>16</v>
      </c>
      <c r="H108" s="4">
        <v>5000</v>
      </c>
      <c r="I108">
        <v>1</v>
      </c>
      <c r="J108">
        <v>0</v>
      </c>
      <c r="K108">
        <v>5000</v>
      </c>
      <c r="L108">
        <v>0</v>
      </c>
      <c r="M108" t="s">
        <v>17</v>
      </c>
    </row>
    <row r="109" spans="1:13" x14ac:dyDescent="0.25">
      <c r="A109" t="s">
        <v>142</v>
      </c>
      <c r="B109">
        <f t="shared" si="1"/>
        <v>1</v>
      </c>
      <c r="C109" s="5">
        <v>45813</v>
      </c>
      <c r="D109" t="s">
        <v>19</v>
      </c>
      <c r="E109" t="s">
        <v>25</v>
      </c>
      <c r="F109" t="s">
        <v>36</v>
      </c>
      <c r="G109" t="s">
        <v>43</v>
      </c>
      <c r="H109" s="4">
        <v>65000</v>
      </c>
      <c r="I109">
        <v>1</v>
      </c>
      <c r="J109">
        <v>0.15</v>
      </c>
      <c r="K109">
        <v>55250</v>
      </c>
      <c r="L109">
        <v>1909.49</v>
      </c>
      <c r="M109" t="s">
        <v>33</v>
      </c>
    </row>
    <row r="110" spans="1:13" x14ac:dyDescent="0.25">
      <c r="A110" t="s">
        <v>148</v>
      </c>
      <c r="B110">
        <f t="shared" si="1"/>
        <v>1</v>
      </c>
      <c r="C110" s="5">
        <v>45815</v>
      </c>
      <c r="D110" t="s">
        <v>24</v>
      </c>
      <c r="E110" t="s">
        <v>32</v>
      </c>
      <c r="F110" t="s">
        <v>39</v>
      </c>
      <c r="G110" t="s">
        <v>22</v>
      </c>
      <c r="H110" s="4">
        <v>35000</v>
      </c>
      <c r="I110">
        <v>2</v>
      </c>
      <c r="J110">
        <v>0</v>
      </c>
      <c r="K110">
        <v>70000</v>
      </c>
      <c r="L110">
        <v>722.97</v>
      </c>
      <c r="M110" t="s">
        <v>33</v>
      </c>
    </row>
    <row r="111" spans="1:13" x14ac:dyDescent="0.25">
      <c r="A111" t="s">
        <v>76</v>
      </c>
      <c r="B111">
        <f t="shared" si="1"/>
        <v>1</v>
      </c>
      <c r="C111" s="5">
        <v>45816</v>
      </c>
      <c r="D111" t="s">
        <v>13</v>
      </c>
      <c r="E111" t="s">
        <v>20</v>
      </c>
      <c r="F111" t="s">
        <v>26</v>
      </c>
      <c r="G111" t="s">
        <v>29</v>
      </c>
      <c r="H111" s="4">
        <v>8000</v>
      </c>
      <c r="I111">
        <v>2</v>
      </c>
      <c r="J111">
        <v>0</v>
      </c>
      <c r="K111">
        <v>16000</v>
      </c>
      <c r="L111">
        <v>2239.44</v>
      </c>
      <c r="M111" t="s">
        <v>33</v>
      </c>
    </row>
    <row r="112" spans="1:13" x14ac:dyDescent="0.25">
      <c r="A112" t="s">
        <v>273</v>
      </c>
      <c r="B112">
        <f t="shared" si="1"/>
        <v>1</v>
      </c>
      <c r="C112" s="5">
        <v>45816</v>
      </c>
      <c r="D112" t="s">
        <v>19</v>
      </c>
      <c r="E112" t="s">
        <v>38</v>
      </c>
      <c r="F112" t="s">
        <v>15</v>
      </c>
      <c r="G112" t="s">
        <v>22</v>
      </c>
      <c r="H112" s="4">
        <v>35000</v>
      </c>
      <c r="I112">
        <v>1</v>
      </c>
      <c r="J112">
        <v>0.2</v>
      </c>
      <c r="K112">
        <v>28000</v>
      </c>
      <c r="L112">
        <v>0</v>
      </c>
      <c r="M112" t="s">
        <v>17</v>
      </c>
    </row>
    <row r="113" spans="1:13" x14ac:dyDescent="0.25">
      <c r="A113" t="s">
        <v>199</v>
      </c>
      <c r="B113">
        <f t="shared" si="1"/>
        <v>1</v>
      </c>
      <c r="C113" s="5">
        <v>45817</v>
      </c>
      <c r="D113" t="s">
        <v>63</v>
      </c>
      <c r="E113" t="s">
        <v>14</v>
      </c>
      <c r="F113" t="s">
        <v>15</v>
      </c>
      <c r="G113" t="s">
        <v>41</v>
      </c>
      <c r="H113" s="4">
        <v>15000</v>
      </c>
      <c r="I113">
        <v>1</v>
      </c>
      <c r="J113">
        <v>0</v>
      </c>
      <c r="K113">
        <v>15000</v>
      </c>
      <c r="L113">
        <v>0</v>
      </c>
      <c r="M113" t="s">
        <v>17</v>
      </c>
    </row>
    <row r="114" spans="1:13" x14ac:dyDescent="0.25">
      <c r="A114" t="s">
        <v>144</v>
      </c>
      <c r="B114">
        <f t="shared" si="1"/>
        <v>1</v>
      </c>
      <c r="C114" s="5">
        <v>45818</v>
      </c>
      <c r="D114" t="s">
        <v>24</v>
      </c>
      <c r="E114" t="s">
        <v>14</v>
      </c>
      <c r="F114" t="s">
        <v>26</v>
      </c>
      <c r="G114" t="s">
        <v>22</v>
      </c>
      <c r="H114" s="4">
        <v>35000</v>
      </c>
      <c r="I114">
        <v>2</v>
      </c>
      <c r="J114">
        <v>0</v>
      </c>
      <c r="K114">
        <v>70000</v>
      </c>
      <c r="L114">
        <v>0</v>
      </c>
      <c r="M114" t="s">
        <v>17</v>
      </c>
    </row>
    <row r="115" spans="1:13" x14ac:dyDescent="0.25">
      <c r="A115" t="s">
        <v>187</v>
      </c>
      <c r="B115">
        <f t="shared" si="1"/>
        <v>1</v>
      </c>
      <c r="C115" s="5">
        <v>45818</v>
      </c>
      <c r="D115" t="s">
        <v>31</v>
      </c>
      <c r="E115" t="s">
        <v>32</v>
      </c>
      <c r="F115" t="s">
        <v>21</v>
      </c>
      <c r="G115" t="s">
        <v>22</v>
      </c>
      <c r="H115" s="4">
        <v>35000</v>
      </c>
      <c r="I115">
        <v>1</v>
      </c>
      <c r="J115">
        <v>0.2</v>
      </c>
      <c r="K115">
        <v>28000</v>
      </c>
      <c r="L115">
        <v>2301.9899999999998</v>
      </c>
      <c r="M115" t="s">
        <v>17</v>
      </c>
    </row>
    <row r="116" spans="1:13" x14ac:dyDescent="0.25">
      <c r="A116" t="s">
        <v>375</v>
      </c>
      <c r="B116">
        <f t="shared" si="1"/>
        <v>1</v>
      </c>
      <c r="C116" s="5">
        <v>45819</v>
      </c>
      <c r="D116" t="s">
        <v>13</v>
      </c>
      <c r="E116" t="s">
        <v>32</v>
      </c>
      <c r="F116" t="s">
        <v>36</v>
      </c>
      <c r="G116" t="s">
        <v>41</v>
      </c>
      <c r="H116" s="4">
        <v>15000</v>
      </c>
      <c r="I116">
        <v>1</v>
      </c>
      <c r="J116">
        <v>0</v>
      </c>
      <c r="K116">
        <v>15000</v>
      </c>
      <c r="L116">
        <v>2613.08</v>
      </c>
      <c r="M116" t="s">
        <v>17</v>
      </c>
    </row>
    <row r="117" spans="1:13" x14ac:dyDescent="0.25">
      <c r="A117" t="s">
        <v>295</v>
      </c>
      <c r="B117">
        <f t="shared" si="1"/>
        <v>1</v>
      </c>
      <c r="C117" s="5">
        <v>45821</v>
      </c>
      <c r="D117" t="s">
        <v>19</v>
      </c>
      <c r="E117" t="s">
        <v>20</v>
      </c>
      <c r="F117" t="s">
        <v>49</v>
      </c>
      <c r="G117" t="s">
        <v>29</v>
      </c>
      <c r="H117" s="4">
        <v>8000</v>
      </c>
      <c r="I117">
        <v>3</v>
      </c>
      <c r="J117">
        <v>0.05</v>
      </c>
      <c r="K117">
        <v>22800</v>
      </c>
      <c r="L117">
        <v>1419.42</v>
      </c>
      <c r="M117" t="s">
        <v>17</v>
      </c>
    </row>
    <row r="118" spans="1:13" x14ac:dyDescent="0.25">
      <c r="A118" t="s">
        <v>323</v>
      </c>
      <c r="B118">
        <f t="shared" si="1"/>
        <v>1</v>
      </c>
      <c r="C118" s="5">
        <v>45821</v>
      </c>
      <c r="D118" t="s">
        <v>24</v>
      </c>
      <c r="E118" t="s">
        <v>32</v>
      </c>
      <c r="F118" t="s">
        <v>36</v>
      </c>
      <c r="G118" t="s">
        <v>22</v>
      </c>
      <c r="H118" s="4">
        <v>35000</v>
      </c>
      <c r="I118">
        <v>1</v>
      </c>
      <c r="J118">
        <v>0.1</v>
      </c>
      <c r="K118">
        <v>31500</v>
      </c>
      <c r="L118">
        <v>2731.99</v>
      </c>
      <c r="M118" t="s">
        <v>33</v>
      </c>
    </row>
    <row r="119" spans="1:13" x14ac:dyDescent="0.25">
      <c r="A119" t="s">
        <v>317</v>
      </c>
      <c r="B119">
        <f t="shared" si="1"/>
        <v>1</v>
      </c>
      <c r="C119" s="5">
        <v>45824</v>
      </c>
      <c r="D119" t="s">
        <v>13</v>
      </c>
      <c r="E119" t="s">
        <v>35</v>
      </c>
      <c r="F119" t="s">
        <v>36</v>
      </c>
      <c r="G119" t="s">
        <v>43</v>
      </c>
      <c r="H119" s="4">
        <v>65000</v>
      </c>
      <c r="I119">
        <v>1</v>
      </c>
      <c r="J119">
        <v>0.05</v>
      </c>
      <c r="K119">
        <v>61750</v>
      </c>
      <c r="L119">
        <v>2351.02</v>
      </c>
      <c r="M119" t="s">
        <v>17</v>
      </c>
    </row>
    <row r="120" spans="1:13" x14ac:dyDescent="0.25">
      <c r="A120" t="s">
        <v>432</v>
      </c>
      <c r="B120">
        <f t="shared" si="1"/>
        <v>1</v>
      </c>
      <c r="C120" s="5">
        <v>45824</v>
      </c>
      <c r="D120" t="s">
        <v>24</v>
      </c>
      <c r="E120" t="s">
        <v>78</v>
      </c>
      <c r="F120" t="s">
        <v>21</v>
      </c>
      <c r="G120" t="s">
        <v>29</v>
      </c>
      <c r="H120" s="4">
        <v>8000</v>
      </c>
      <c r="I120">
        <v>2</v>
      </c>
      <c r="J120">
        <v>0</v>
      </c>
      <c r="K120">
        <v>16000</v>
      </c>
      <c r="L120">
        <v>3281.66</v>
      </c>
      <c r="M120" t="s">
        <v>17</v>
      </c>
    </row>
    <row r="121" spans="1:13" x14ac:dyDescent="0.25">
      <c r="A121" t="s">
        <v>345</v>
      </c>
      <c r="B121">
        <f t="shared" si="1"/>
        <v>1</v>
      </c>
      <c r="C121" s="5">
        <v>45825</v>
      </c>
      <c r="D121" t="s">
        <v>19</v>
      </c>
      <c r="E121" t="s">
        <v>25</v>
      </c>
      <c r="F121" t="s">
        <v>15</v>
      </c>
      <c r="G121" t="s">
        <v>22</v>
      </c>
      <c r="H121" s="4">
        <v>35000</v>
      </c>
      <c r="I121">
        <v>2</v>
      </c>
      <c r="J121">
        <v>0</v>
      </c>
      <c r="K121">
        <v>70000</v>
      </c>
      <c r="L121">
        <v>2706.68</v>
      </c>
      <c r="M121" t="s">
        <v>33</v>
      </c>
    </row>
    <row r="122" spans="1:13" x14ac:dyDescent="0.25">
      <c r="A122" t="s">
        <v>325</v>
      </c>
      <c r="B122">
        <f t="shared" si="1"/>
        <v>1</v>
      </c>
      <c r="C122" s="5">
        <v>45826</v>
      </c>
      <c r="D122" t="s">
        <v>19</v>
      </c>
      <c r="E122" t="s">
        <v>32</v>
      </c>
      <c r="F122" t="s">
        <v>39</v>
      </c>
      <c r="G122" t="s">
        <v>43</v>
      </c>
      <c r="H122" s="4">
        <v>65000</v>
      </c>
      <c r="I122">
        <v>3</v>
      </c>
      <c r="J122">
        <v>0.05</v>
      </c>
      <c r="K122">
        <v>185250</v>
      </c>
      <c r="L122">
        <v>1204.7</v>
      </c>
      <c r="M122" t="s">
        <v>33</v>
      </c>
    </row>
    <row r="123" spans="1:13" x14ac:dyDescent="0.25">
      <c r="A123" t="s">
        <v>387</v>
      </c>
      <c r="B123">
        <f t="shared" si="1"/>
        <v>1</v>
      </c>
      <c r="C123" s="5">
        <v>45829</v>
      </c>
      <c r="D123" t="s">
        <v>24</v>
      </c>
      <c r="E123" t="s">
        <v>32</v>
      </c>
      <c r="F123" t="s">
        <v>49</v>
      </c>
      <c r="G123" t="s">
        <v>22</v>
      </c>
      <c r="H123" s="4">
        <v>35000</v>
      </c>
      <c r="I123">
        <v>2</v>
      </c>
      <c r="J123">
        <v>0.05</v>
      </c>
      <c r="K123">
        <v>66500</v>
      </c>
      <c r="L123">
        <v>1104.33</v>
      </c>
      <c r="M123" t="s">
        <v>17</v>
      </c>
    </row>
    <row r="124" spans="1:13" x14ac:dyDescent="0.25">
      <c r="A124" t="s">
        <v>211</v>
      </c>
      <c r="B124">
        <f t="shared" si="1"/>
        <v>1</v>
      </c>
      <c r="C124" s="5">
        <v>45830</v>
      </c>
      <c r="D124" t="s">
        <v>13</v>
      </c>
      <c r="E124" t="s">
        <v>35</v>
      </c>
      <c r="F124" t="s">
        <v>26</v>
      </c>
      <c r="G124" t="s">
        <v>41</v>
      </c>
      <c r="H124" s="4">
        <v>15000</v>
      </c>
      <c r="I124">
        <v>1</v>
      </c>
      <c r="J124">
        <v>0</v>
      </c>
      <c r="K124">
        <v>15000</v>
      </c>
      <c r="L124">
        <v>2686.76</v>
      </c>
      <c r="M124" t="s">
        <v>17</v>
      </c>
    </row>
    <row r="125" spans="1:13" x14ac:dyDescent="0.25">
      <c r="A125" t="s">
        <v>106</v>
      </c>
      <c r="B125">
        <f t="shared" si="1"/>
        <v>1</v>
      </c>
      <c r="C125" s="5">
        <v>45835</v>
      </c>
      <c r="D125" t="s">
        <v>31</v>
      </c>
      <c r="E125" t="s">
        <v>35</v>
      </c>
      <c r="F125" t="s">
        <v>15</v>
      </c>
      <c r="G125" t="s">
        <v>22</v>
      </c>
      <c r="H125" s="4">
        <v>35000</v>
      </c>
      <c r="I125">
        <v>2</v>
      </c>
      <c r="J125">
        <v>0</v>
      </c>
      <c r="K125">
        <v>70000</v>
      </c>
      <c r="L125">
        <v>3320.97</v>
      </c>
      <c r="M125" t="s">
        <v>33</v>
      </c>
    </row>
    <row r="126" spans="1:13" x14ac:dyDescent="0.25">
      <c r="A126" t="s">
        <v>164</v>
      </c>
      <c r="B126">
        <f t="shared" si="1"/>
        <v>1</v>
      </c>
      <c r="C126" s="5">
        <v>45835</v>
      </c>
      <c r="D126" t="s">
        <v>13</v>
      </c>
      <c r="E126" t="s">
        <v>32</v>
      </c>
      <c r="F126" t="s">
        <v>39</v>
      </c>
      <c r="G126" t="s">
        <v>22</v>
      </c>
      <c r="H126" s="4">
        <v>35000</v>
      </c>
      <c r="I126">
        <v>1</v>
      </c>
      <c r="J126">
        <v>0</v>
      </c>
      <c r="K126">
        <v>35000</v>
      </c>
      <c r="L126">
        <v>1599.43</v>
      </c>
      <c r="M126" t="s">
        <v>33</v>
      </c>
    </row>
    <row r="127" spans="1:13" x14ac:dyDescent="0.25">
      <c r="A127" t="s">
        <v>473</v>
      </c>
      <c r="B127">
        <f t="shared" si="1"/>
        <v>1</v>
      </c>
      <c r="C127" s="5">
        <v>45840</v>
      </c>
      <c r="D127" t="s">
        <v>65</v>
      </c>
      <c r="E127" t="s">
        <v>14</v>
      </c>
      <c r="F127" t="s">
        <v>26</v>
      </c>
      <c r="G127" t="s">
        <v>16</v>
      </c>
      <c r="H127" s="4">
        <v>5000</v>
      </c>
      <c r="I127">
        <v>2</v>
      </c>
      <c r="J127">
        <v>0.15</v>
      </c>
      <c r="K127">
        <v>8500</v>
      </c>
      <c r="L127">
        <v>0</v>
      </c>
      <c r="M127" t="s">
        <v>33</v>
      </c>
    </row>
    <row r="128" spans="1:13" x14ac:dyDescent="0.25">
      <c r="A128" t="s">
        <v>292</v>
      </c>
      <c r="B128">
        <f t="shared" si="1"/>
        <v>1</v>
      </c>
      <c r="C128" s="5">
        <v>45841</v>
      </c>
      <c r="D128" t="s">
        <v>13</v>
      </c>
      <c r="E128" t="s">
        <v>32</v>
      </c>
      <c r="F128" t="s">
        <v>15</v>
      </c>
      <c r="G128" t="s">
        <v>22</v>
      </c>
      <c r="H128" s="4">
        <v>35000</v>
      </c>
      <c r="I128">
        <v>2</v>
      </c>
      <c r="J128">
        <v>0</v>
      </c>
      <c r="K128">
        <v>70000</v>
      </c>
      <c r="L128">
        <v>2156.04</v>
      </c>
      <c r="M128" t="s">
        <v>17</v>
      </c>
    </row>
    <row r="129" spans="1:13" x14ac:dyDescent="0.25">
      <c r="A129" t="s">
        <v>87</v>
      </c>
      <c r="B129">
        <f t="shared" si="1"/>
        <v>1</v>
      </c>
      <c r="C129" s="5">
        <v>45842</v>
      </c>
      <c r="D129" t="s">
        <v>19</v>
      </c>
      <c r="E129" t="s">
        <v>25</v>
      </c>
      <c r="F129" t="s">
        <v>26</v>
      </c>
      <c r="G129" t="s">
        <v>43</v>
      </c>
      <c r="H129" s="4">
        <v>65000</v>
      </c>
      <c r="I129">
        <v>3</v>
      </c>
      <c r="J129">
        <v>0.2</v>
      </c>
      <c r="K129">
        <v>156000</v>
      </c>
      <c r="L129">
        <v>2230.23</v>
      </c>
      <c r="M129" t="s">
        <v>33</v>
      </c>
    </row>
    <row r="130" spans="1:13" x14ac:dyDescent="0.25">
      <c r="A130" t="s">
        <v>54</v>
      </c>
      <c r="B130">
        <f t="shared" ref="B130:B193" si="2">COUNTIF($A:$A,A130)</f>
        <v>1</v>
      </c>
      <c r="C130" s="5">
        <v>45844</v>
      </c>
      <c r="D130" t="s">
        <v>24</v>
      </c>
      <c r="E130" t="s">
        <v>38</v>
      </c>
      <c r="F130" t="s">
        <v>49</v>
      </c>
      <c r="G130" t="s">
        <v>29</v>
      </c>
      <c r="H130" s="4">
        <v>8000</v>
      </c>
      <c r="I130">
        <v>1</v>
      </c>
      <c r="J130">
        <v>0</v>
      </c>
      <c r="K130">
        <v>8000</v>
      </c>
      <c r="L130">
        <v>0</v>
      </c>
      <c r="M130" t="s">
        <v>33</v>
      </c>
    </row>
    <row r="131" spans="1:13" x14ac:dyDescent="0.25">
      <c r="A131" t="s">
        <v>400</v>
      </c>
      <c r="B131">
        <f t="shared" si="2"/>
        <v>1</v>
      </c>
      <c r="C131" s="5">
        <v>45845</v>
      </c>
      <c r="D131" t="s">
        <v>24</v>
      </c>
      <c r="E131" t="s">
        <v>20</v>
      </c>
      <c r="F131" t="s">
        <v>26</v>
      </c>
      <c r="G131" t="s">
        <v>29</v>
      </c>
      <c r="H131" s="4">
        <v>8000</v>
      </c>
      <c r="I131">
        <v>1</v>
      </c>
      <c r="J131">
        <v>0</v>
      </c>
      <c r="K131">
        <v>8000</v>
      </c>
      <c r="L131">
        <v>3206.49</v>
      </c>
      <c r="M131" t="s">
        <v>17</v>
      </c>
    </row>
    <row r="132" spans="1:13" x14ac:dyDescent="0.25">
      <c r="A132" t="s">
        <v>44</v>
      </c>
      <c r="B132">
        <f t="shared" si="2"/>
        <v>1</v>
      </c>
      <c r="C132" s="5">
        <v>45846</v>
      </c>
      <c r="D132" t="s">
        <v>19</v>
      </c>
      <c r="E132" t="s">
        <v>35</v>
      </c>
      <c r="F132" t="s">
        <v>15</v>
      </c>
      <c r="G132" t="s">
        <v>22</v>
      </c>
      <c r="H132" s="4">
        <v>35000</v>
      </c>
      <c r="I132">
        <v>2</v>
      </c>
      <c r="J132">
        <v>0</v>
      </c>
      <c r="K132">
        <v>70000</v>
      </c>
      <c r="L132">
        <v>2162.79</v>
      </c>
      <c r="M132" t="s">
        <v>33</v>
      </c>
    </row>
    <row r="133" spans="1:13" x14ac:dyDescent="0.25">
      <c r="A133" t="s">
        <v>80</v>
      </c>
      <c r="B133">
        <f t="shared" si="2"/>
        <v>1</v>
      </c>
      <c r="C133" s="5">
        <v>45847</v>
      </c>
      <c r="D133" t="s">
        <v>24</v>
      </c>
      <c r="E133" t="s">
        <v>20</v>
      </c>
      <c r="F133" t="s">
        <v>21</v>
      </c>
      <c r="G133" t="s">
        <v>16</v>
      </c>
      <c r="H133" s="4">
        <v>5000</v>
      </c>
      <c r="I133">
        <v>2</v>
      </c>
      <c r="J133">
        <v>0.15</v>
      </c>
      <c r="K133">
        <v>8500</v>
      </c>
      <c r="L133">
        <v>1084.47</v>
      </c>
      <c r="M133" t="s">
        <v>17</v>
      </c>
    </row>
    <row r="134" spans="1:13" x14ac:dyDescent="0.25">
      <c r="A134" t="s">
        <v>385</v>
      </c>
      <c r="B134">
        <f t="shared" si="2"/>
        <v>1</v>
      </c>
      <c r="C134" s="5">
        <v>45850</v>
      </c>
      <c r="D134" t="s">
        <v>13</v>
      </c>
      <c r="E134" t="s">
        <v>38</v>
      </c>
      <c r="F134" t="s">
        <v>26</v>
      </c>
      <c r="G134" t="s">
        <v>29</v>
      </c>
      <c r="H134" s="4">
        <v>8000</v>
      </c>
      <c r="I134">
        <v>2</v>
      </c>
      <c r="J134">
        <v>0</v>
      </c>
      <c r="K134">
        <v>16000</v>
      </c>
      <c r="L134">
        <v>0</v>
      </c>
      <c r="M134" t="s">
        <v>33</v>
      </c>
    </row>
    <row r="135" spans="1:13" x14ac:dyDescent="0.25">
      <c r="A135" t="s">
        <v>260</v>
      </c>
      <c r="B135">
        <f t="shared" si="2"/>
        <v>1</v>
      </c>
      <c r="C135" s="5">
        <v>45851</v>
      </c>
      <c r="D135" t="s">
        <v>13</v>
      </c>
      <c r="E135" t="s">
        <v>35</v>
      </c>
      <c r="F135" t="s">
        <v>26</v>
      </c>
      <c r="G135" t="s">
        <v>22</v>
      </c>
      <c r="H135" s="4">
        <v>35000</v>
      </c>
      <c r="I135">
        <v>2</v>
      </c>
      <c r="J135">
        <v>0.1</v>
      </c>
      <c r="K135">
        <v>63000</v>
      </c>
      <c r="L135">
        <v>780.3</v>
      </c>
      <c r="M135" t="s">
        <v>17</v>
      </c>
    </row>
    <row r="136" spans="1:13" x14ac:dyDescent="0.25">
      <c r="A136" t="s">
        <v>310</v>
      </c>
      <c r="B136">
        <f t="shared" si="2"/>
        <v>1</v>
      </c>
      <c r="C136" s="5">
        <v>45852</v>
      </c>
      <c r="D136" t="s">
        <v>13</v>
      </c>
      <c r="E136" t="s">
        <v>14</v>
      </c>
      <c r="F136" t="s">
        <v>26</v>
      </c>
      <c r="G136" t="s">
        <v>29</v>
      </c>
      <c r="H136" s="4">
        <v>8000</v>
      </c>
      <c r="I136">
        <v>3</v>
      </c>
      <c r="J136">
        <v>0</v>
      </c>
      <c r="K136">
        <v>24000</v>
      </c>
      <c r="L136">
        <v>0</v>
      </c>
      <c r="M136" t="s">
        <v>33</v>
      </c>
    </row>
    <row r="137" spans="1:13" x14ac:dyDescent="0.25">
      <c r="A137" t="s">
        <v>363</v>
      </c>
      <c r="B137">
        <f t="shared" si="2"/>
        <v>1</v>
      </c>
      <c r="C137" s="5">
        <v>45855</v>
      </c>
      <c r="D137" t="s">
        <v>31</v>
      </c>
      <c r="E137" t="s">
        <v>20</v>
      </c>
      <c r="F137" t="s">
        <v>15</v>
      </c>
      <c r="G137" t="s">
        <v>16</v>
      </c>
      <c r="H137" s="4">
        <v>5000</v>
      </c>
      <c r="I137">
        <v>1</v>
      </c>
      <c r="J137">
        <v>0.1</v>
      </c>
      <c r="K137">
        <v>4500</v>
      </c>
      <c r="L137">
        <v>645.15</v>
      </c>
      <c r="M137" t="s">
        <v>17</v>
      </c>
    </row>
    <row r="138" spans="1:13" x14ac:dyDescent="0.25">
      <c r="A138" t="s">
        <v>110</v>
      </c>
      <c r="B138">
        <f t="shared" si="2"/>
        <v>1</v>
      </c>
      <c r="C138" s="5">
        <v>45857</v>
      </c>
      <c r="D138" t="s">
        <v>24</v>
      </c>
      <c r="E138" t="s">
        <v>78</v>
      </c>
      <c r="F138" t="s">
        <v>26</v>
      </c>
      <c r="G138" t="s">
        <v>41</v>
      </c>
      <c r="H138" s="4">
        <v>15000</v>
      </c>
      <c r="I138">
        <v>2</v>
      </c>
      <c r="J138">
        <v>0.2</v>
      </c>
      <c r="K138">
        <v>24000</v>
      </c>
      <c r="L138">
        <v>1268.2</v>
      </c>
      <c r="M138" t="s">
        <v>17</v>
      </c>
    </row>
    <row r="139" spans="1:13" x14ac:dyDescent="0.25">
      <c r="A139" t="s">
        <v>399</v>
      </c>
      <c r="B139">
        <f t="shared" si="2"/>
        <v>1</v>
      </c>
      <c r="C139" s="5">
        <v>45857</v>
      </c>
      <c r="D139" t="s">
        <v>19</v>
      </c>
      <c r="E139" t="s">
        <v>35</v>
      </c>
      <c r="F139" t="s">
        <v>36</v>
      </c>
      <c r="G139" t="s">
        <v>41</v>
      </c>
      <c r="H139" s="4">
        <v>15000</v>
      </c>
      <c r="I139">
        <v>1</v>
      </c>
      <c r="J139">
        <v>0.1</v>
      </c>
      <c r="K139">
        <v>13500</v>
      </c>
      <c r="L139">
        <v>1993.58</v>
      </c>
      <c r="M139" t="s">
        <v>17</v>
      </c>
    </row>
    <row r="140" spans="1:13" x14ac:dyDescent="0.25">
      <c r="A140" t="s">
        <v>118</v>
      </c>
      <c r="B140">
        <f t="shared" si="2"/>
        <v>1</v>
      </c>
      <c r="C140" s="5">
        <v>45859</v>
      </c>
      <c r="D140" t="s">
        <v>24</v>
      </c>
      <c r="E140" t="s">
        <v>38</v>
      </c>
      <c r="F140" t="s">
        <v>49</v>
      </c>
      <c r="G140" t="s">
        <v>22</v>
      </c>
      <c r="H140" s="4">
        <v>35000</v>
      </c>
      <c r="I140">
        <v>3</v>
      </c>
      <c r="J140">
        <v>0</v>
      </c>
      <c r="K140">
        <v>105000</v>
      </c>
      <c r="L140">
        <v>0</v>
      </c>
      <c r="M140" t="s">
        <v>17</v>
      </c>
    </row>
    <row r="141" spans="1:13" x14ac:dyDescent="0.25">
      <c r="A141" t="s">
        <v>161</v>
      </c>
      <c r="B141">
        <f t="shared" si="2"/>
        <v>1</v>
      </c>
      <c r="C141" s="5">
        <v>45859</v>
      </c>
      <c r="D141" t="s">
        <v>31</v>
      </c>
      <c r="E141" t="s">
        <v>14</v>
      </c>
      <c r="F141" t="s">
        <v>36</v>
      </c>
      <c r="G141" t="s">
        <v>16</v>
      </c>
      <c r="H141" s="4">
        <v>5000</v>
      </c>
      <c r="I141">
        <v>1</v>
      </c>
      <c r="J141">
        <v>0.2</v>
      </c>
      <c r="K141">
        <v>4000</v>
      </c>
      <c r="L141">
        <v>0</v>
      </c>
      <c r="M141" t="s">
        <v>33</v>
      </c>
    </row>
    <row r="142" spans="1:13" x14ac:dyDescent="0.25">
      <c r="A142" t="s">
        <v>69</v>
      </c>
      <c r="B142">
        <f t="shared" si="2"/>
        <v>1</v>
      </c>
      <c r="C142" s="5">
        <v>45860</v>
      </c>
      <c r="D142" t="s">
        <v>24</v>
      </c>
      <c r="E142" t="s">
        <v>35</v>
      </c>
      <c r="F142" t="s">
        <v>26</v>
      </c>
      <c r="G142" t="s">
        <v>22</v>
      </c>
      <c r="H142" s="4">
        <v>35000</v>
      </c>
      <c r="I142">
        <v>1</v>
      </c>
      <c r="J142">
        <v>0.05</v>
      </c>
      <c r="K142">
        <v>33250</v>
      </c>
      <c r="L142">
        <v>2500.4299999999998</v>
      </c>
      <c r="M142" t="s">
        <v>17</v>
      </c>
    </row>
    <row r="143" spans="1:13" x14ac:dyDescent="0.25">
      <c r="A143" t="s">
        <v>37</v>
      </c>
      <c r="B143">
        <f t="shared" si="2"/>
        <v>1</v>
      </c>
      <c r="C143" s="5">
        <v>45863</v>
      </c>
      <c r="D143" t="s">
        <v>19</v>
      </c>
      <c r="E143" t="s">
        <v>38</v>
      </c>
      <c r="F143" t="s">
        <v>39</v>
      </c>
      <c r="G143" t="s">
        <v>29</v>
      </c>
      <c r="H143" s="4">
        <v>8000</v>
      </c>
      <c r="I143">
        <v>3</v>
      </c>
      <c r="J143">
        <v>0</v>
      </c>
      <c r="K143">
        <v>24000</v>
      </c>
      <c r="L143">
        <v>0</v>
      </c>
      <c r="M143" t="s">
        <v>33</v>
      </c>
    </row>
    <row r="144" spans="1:13" x14ac:dyDescent="0.25">
      <c r="A144" t="s">
        <v>366</v>
      </c>
      <c r="B144">
        <f t="shared" si="2"/>
        <v>1</v>
      </c>
      <c r="C144" s="5">
        <v>45863</v>
      </c>
      <c r="D144" t="s">
        <v>24</v>
      </c>
      <c r="E144" t="s">
        <v>32</v>
      </c>
      <c r="F144" t="s">
        <v>36</v>
      </c>
      <c r="G144" t="s">
        <v>16</v>
      </c>
      <c r="H144" s="4">
        <v>5000</v>
      </c>
      <c r="I144">
        <v>1</v>
      </c>
      <c r="J144">
        <v>0.1</v>
      </c>
      <c r="K144">
        <v>4500</v>
      </c>
      <c r="L144">
        <v>892.65</v>
      </c>
      <c r="M144" t="s">
        <v>33</v>
      </c>
    </row>
    <row r="145" spans="1:13" x14ac:dyDescent="0.25">
      <c r="A145" t="s">
        <v>401</v>
      </c>
      <c r="B145">
        <f t="shared" si="2"/>
        <v>1</v>
      </c>
      <c r="C145" s="5">
        <v>45867</v>
      </c>
      <c r="D145" t="s">
        <v>24</v>
      </c>
      <c r="E145" t="s">
        <v>25</v>
      </c>
      <c r="F145" t="s">
        <v>21</v>
      </c>
      <c r="G145" t="s">
        <v>29</v>
      </c>
      <c r="H145" s="4">
        <v>8000</v>
      </c>
      <c r="I145">
        <v>1</v>
      </c>
      <c r="J145">
        <v>0.2</v>
      </c>
      <c r="K145">
        <v>6400</v>
      </c>
      <c r="L145">
        <v>1909.49</v>
      </c>
      <c r="M145" t="s">
        <v>33</v>
      </c>
    </row>
    <row r="146" spans="1:13" x14ac:dyDescent="0.25">
      <c r="A146" t="s">
        <v>83</v>
      </c>
      <c r="B146">
        <f t="shared" si="2"/>
        <v>1</v>
      </c>
      <c r="C146" s="5">
        <v>45869</v>
      </c>
      <c r="D146" t="s">
        <v>24</v>
      </c>
      <c r="E146" t="s">
        <v>20</v>
      </c>
      <c r="F146" t="s">
        <v>49</v>
      </c>
      <c r="G146" t="s">
        <v>43</v>
      </c>
      <c r="H146" s="4">
        <v>65000</v>
      </c>
      <c r="I146">
        <v>3</v>
      </c>
      <c r="J146">
        <v>0.05</v>
      </c>
      <c r="K146">
        <v>185250</v>
      </c>
      <c r="L146">
        <v>3348.49</v>
      </c>
      <c r="M146" t="s">
        <v>33</v>
      </c>
    </row>
    <row r="147" spans="1:13" x14ac:dyDescent="0.25">
      <c r="A147" t="s">
        <v>337</v>
      </c>
      <c r="B147">
        <f t="shared" si="2"/>
        <v>1</v>
      </c>
      <c r="C147" s="5">
        <v>45869</v>
      </c>
      <c r="D147" t="s">
        <v>24</v>
      </c>
      <c r="E147" t="s">
        <v>25</v>
      </c>
      <c r="F147" t="s">
        <v>39</v>
      </c>
      <c r="G147" t="s">
        <v>43</v>
      </c>
      <c r="H147" s="4">
        <v>65000</v>
      </c>
      <c r="I147">
        <v>3</v>
      </c>
      <c r="J147">
        <v>0</v>
      </c>
      <c r="K147">
        <v>195000</v>
      </c>
      <c r="L147">
        <v>1242.3900000000001</v>
      </c>
      <c r="M147" t="s">
        <v>17</v>
      </c>
    </row>
    <row r="148" spans="1:13" x14ac:dyDescent="0.25">
      <c r="A148" t="s">
        <v>50</v>
      </c>
      <c r="B148">
        <f t="shared" si="2"/>
        <v>1</v>
      </c>
      <c r="C148" s="5">
        <v>45870</v>
      </c>
      <c r="D148" t="s">
        <v>19</v>
      </c>
      <c r="E148" t="s">
        <v>20</v>
      </c>
      <c r="F148" t="s">
        <v>26</v>
      </c>
      <c r="G148" t="s">
        <v>16</v>
      </c>
      <c r="H148" s="4">
        <v>5000</v>
      </c>
      <c r="I148">
        <v>1</v>
      </c>
      <c r="J148">
        <v>0.05</v>
      </c>
      <c r="K148">
        <v>4750</v>
      </c>
      <c r="L148">
        <v>1241.29</v>
      </c>
      <c r="M148" t="s">
        <v>17</v>
      </c>
    </row>
    <row r="149" spans="1:13" x14ac:dyDescent="0.25">
      <c r="A149" t="s">
        <v>182</v>
      </c>
      <c r="B149">
        <f t="shared" si="2"/>
        <v>1</v>
      </c>
      <c r="C149" s="5">
        <v>45874</v>
      </c>
      <c r="D149" t="s">
        <v>13</v>
      </c>
      <c r="E149" t="s">
        <v>20</v>
      </c>
      <c r="F149" t="s">
        <v>36</v>
      </c>
      <c r="G149" t="s">
        <v>16</v>
      </c>
      <c r="H149" s="4">
        <v>5000</v>
      </c>
      <c r="I149">
        <v>2</v>
      </c>
      <c r="J149">
        <v>0</v>
      </c>
      <c r="K149">
        <v>10000</v>
      </c>
      <c r="L149">
        <v>809.92</v>
      </c>
      <c r="M149" t="s">
        <v>33</v>
      </c>
    </row>
    <row r="150" spans="1:13" x14ac:dyDescent="0.25">
      <c r="A150" t="s">
        <v>419</v>
      </c>
      <c r="B150">
        <f t="shared" si="2"/>
        <v>1</v>
      </c>
      <c r="C150" s="5">
        <v>45875</v>
      </c>
      <c r="D150" t="s">
        <v>24</v>
      </c>
      <c r="E150" t="s">
        <v>14</v>
      </c>
      <c r="F150" t="s">
        <v>26</v>
      </c>
      <c r="G150" t="s">
        <v>16</v>
      </c>
      <c r="H150" s="4">
        <v>5000</v>
      </c>
      <c r="I150">
        <v>3</v>
      </c>
      <c r="J150">
        <v>0.15</v>
      </c>
      <c r="K150">
        <v>12750</v>
      </c>
      <c r="L150">
        <v>0</v>
      </c>
      <c r="M150" t="s">
        <v>17</v>
      </c>
    </row>
    <row r="151" spans="1:13" x14ac:dyDescent="0.25">
      <c r="A151" t="s">
        <v>254</v>
      </c>
      <c r="B151">
        <f t="shared" si="2"/>
        <v>1</v>
      </c>
      <c r="C151" s="5">
        <v>45876</v>
      </c>
      <c r="D151" t="s">
        <v>24</v>
      </c>
      <c r="E151" t="s">
        <v>28</v>
      </c>
      <c r="F151" t="s">
        <v>26</v>
      </c>
      <c r="G151" t="s">
        <v>16</v>
      </c>
      <c r="H151" s="4">
        <v>5000</v>
      </c>
      <c r="I151">
        <v>3</v>
      </c>
      <c r="J151">
        <v>0</v>
      </c>
      <c r="K151">
        <v>15000</v>
      </c>
      <c r="L151">
        <v>0</v>
      </c>
      <c r="M151" t="s">
        <v>33</v>
      </c>
    </row>
    <row r="152" spans="1:13" x14ac:dyDescent="0.25">
      <c r="A152" t="s">
        <v>420</v>
      </c>
      <c r="B152">
        <f t="shared" si="2"/>
        <v>1</v>
      </c>
      <c r="C152" s="5">
        <v>45878</v>
      </c>
      <c r="D152" t="s">
        <v>19</v>
      </c>
      <c r="E152" t="s">
        <v>14</v>
      </c>
      <c r="F152" t="s">
        <v>36</v>
      </c>
      <c r="G152" t="s">
        <v>41</v>
      </c>
      <c r="H152" s="4">
        <v>15000</v>
      </c>
      <c r="I152">
        <v>2</v>
      </c>
      <c r="J152">
        <v>0.15</v>
      </c>
      <c r="K152">
        <v>25500</v>
      </c>
      <c r="L152">
        <v>0</v>
      </c>
      <c r="M152" t="s">
        <v>33</v>
      </c>
    </row>
    <row r="153" spans="1:13" x14ac:dyDescent="0.25">
      <c r="A153" t="s">
        <v>492</v>
      </c>
      <c r="B153">
        <f t="shared" si="2"/>
        <v>1</v>
      </c>
      <c r="C153" s="5">
        <v>45879</v>
      </c>
      <c r="D153" t="s">
        <v>24</v>
      </c>
      <c r="E153" t="s">
        <v>14</v>
      </c>
      <c r="F153" t="s">
        <v>36</v>
      </c>
      <c r="G153" t="s">
        <v>22</v>
      </c>
      <c r="H153" s="4">
        <v>35000</v>
      </c>
      <c r="I153">
        <v>2</v>
      </c>
      <c r="J153">
        <v>0</v>
      </c>
      <c r="K153">
        <v>70000</v>
      </c>
      <c r="L153">
        <v>0</v>
      </c>
      <c r="M153" t="s">
        <v>33</v>
      </c>
    </row>
    <row r="154" spans="1:13" x14ac:dyDescent="0.25">
      <c r="A154" t="s">
        <v>23</v>
      </c>
      <c r="B154">
        <f t="shared" si="2"/>
        <v>1</v>
      </c>
      <c r="C154" s="5">
        <v>45881</v>
      </c>
      <c r="D154" t="s">
        <v>24</v>
      </c>
      <c r="E154" t="s">
        <v>25</v>
      </c>
      <c r="F154" t="s">
        <v>26</v>
      </c>
      <c r="G154" t="s">
        <v>22</v>
      </c>
      <c r="H154" s="4">
        <v>35000</v>
      </c>
      <c r="I154">
        <v>2</v>
      </c>
      <c r="J154">
        <v>0.1</v>
      </c>
      <c r="K154">
        <v>63000</v>
      </c>
      <c r="L154">
        <v>2633.52</v>
      </c>
      <c r="M154" t="s">
        <v>17</v>
      </c>
    </row>
    <row r="155" spans="1:13" x14ac:dyDescent="0.25">
      <c r="A155" t="s">
        <v>392</v>
      </c>
      <c r="B155">
        <f t="shared" si="2"/>
        <v>1</v>
      </c>
      <c r="C155" s="5">
        <v>45881</v>
      </c>
      <c r="D155" t="s">
        <v>65</v>
      </c>
      <c r="E155" t="s">
        <v>78</v>
      </c>
      <c r="F155" t="s">
        <v>49</v>
      </c>
      <c r="G155" t="s">
        <v>43</v>
      </c>
      <c r="H155" s="4">
        <v>65000</v>
      </c>
      <c r="I155">
        <v>1</v>
      </c>
      <c r="J155">
        <v>0.05</v>
      </c>
      <c r="K155">
        <v>61750</v>
      </c>
      <c r="L155">
        <v>2210.65</v>
      </c>
      <c r="M155" t="s">
        <v>17</v>
      </c>
    </row>
    <row r="156" spans="1:13" x14ac:dyDescent="0.25">
      <c r="A156" t="s">
        <v>128</v>
      </c>
      <c r="B156">
        <f t="shared" si="2"/>
        <v>1</v>
      </c>
      <c r="C156" s="5">
        <v>45882</v>
      </c>
      <c r="D156" t="s">
        <v>13</v>
      </c>
      <c r="E156" t="s">
        <v>25</v>
      </c>
      <c r="F156" t="s">
        <v>36</v>
      </c>
      <c r="G156" t="s">
        <v>43</v>
      </c>
      <c r="H156" s="4">
        <v>65000</v>
      </c>
      <c r="I156">
        <v>1</v>
      </c>
      <c r="J156">
        <v>0</v>
      </c>
      <c r="K156">
        <v>65000</v>
      </c>
      <c r="L156">
        <v>2540.61</v>
      </c>
      <c r="M156" t="s">
        <v>17</v>
      </c>
    </row>
    <row r="157" spans="1:13" x14ac:dyDescent="0.25">
      <c r="A157" t="s">
        <v>114</v>
      </c>
      <c r="B157">
        <f t="shared" si="2"/>
        <v>1</v>
      </c>
      <c r="C157" s="5">
        <v>45883</v>
      </c>
      <c r="D157" t="s">
        <v>19</v>
      </c>
      <c r="E157" t="s">
        <v>32</v>
      </c>
      <c r="F157" t="s">
        <v>36</v>
      </c>
      <c r="G157" t="s">
        <v>41</v>
      </c>
      <c r="H157" s="4">
        <v>15000</v>
      </c>
      <c r="I157">
        <v>1</v>
      </c>
      <c r="J157">
        <v>0.05</v>
      </c>
      <c r="K157">
        <v>14250</v>
      </c>
      <c r="L157">
        <v>1128.27</v>
      </c>
      <c r="M157" t="s">
        <v>33</v>
      </c>
    </row>
    <row r="158" spans="1:13" x14ac:dyDescent="0.25">
      <c r="A158" t="s">
        <v>198</v>
      </c>
      <c r="B158">
        <f t="shared" si="2"/>
        <v>1</v>
      </c>
      <c r="C158" s="5">
        <v>45883</v>
      </c>
      <c r="D158" t="s">
        <v>19</v>
      </c>
      <c r="E158" t="s">
        <v>35</v>
      </c>
      <c r="F158" t="s">
        <v>26</v>
      </c>
      <c r="G158" t="s">
        <v>29</v>
      </c>
      <c r="H158" s="4">
        <v>8000</v>
      </c>
      <c r="I158">
        <v>1</v>
      </c>
      <c r="J158">
        <v>0.1</v>
      </c>
      <c r="K158">
        <v>7200</v>
      </c>
      <c r="L158">
        <v>211.54</v>
      </c>
      <c r="M158" t="s">
        <v>17</v>
      </c>
    </row>
    <row r="159" spans="1:13" x14ac:dyDescent="0.25">
      <c r="A159" t="s">
        <v>51</v>
      </c>
      <c r="B159">
        <f t="shared" si="2"/>
        <v>1</v>
      </c>
      <c r="C159" s="5">
        <v>45885</v>
      </c>
      <c r="D159" t="s">
        <v>13</v>
      </c>
      <c r="E159" t="s">
        <v>38</v>
      </c>
      <c r="F159" t="s">
        <v>21</v>
      </c>
      <c r="G159" t="s">
        <v>41</v>
      </c>
      <c r="H159" s="4">
        <v>15000</v>
      </c>
      <c r="I159">
        <v>1</v>
      </c>
      <c r="J159">
        <v>0.15</v>
      </c>
      <c r="K159">
        <v>12750</v>
      </c>
      <c r="L159">
        <v>0</v>
      </c>
      <c r="M159" t="s">
        <v>17</v>
      </c>
    </row>
    <row r="160" spans="1:13" x14ac:dyDescent="0.25">
      <c r="A160" t="s">
        <v>93</v>
      </c>
      <c r="B160">
        <f t="shared" si="2"/>
        <v>1</v>
      </c>
      <c r="C160" s="5">
        <v>45886</v>
      </c>
      <c r="D160" t="s">
        <v>13</v>
      </c>
      <c r="E160" t="s">
        <v>32</v>
      </c>
      <c r="F160" t="s">
        <v>21</v>
      </c>
      <c r="G160" t="s">
        <v>29</v>
      </c>
      <c r="H160" s="4">
        <v>8000</v>
      </c>
      <c r="I160">
        <v>2</v>
      </c>
      <c r="J160">
        <v>0</v>
      </c>
      <c r="K160">
        <v>16000</v>
      </c>
      <c r="L160">
        <v>2336.48</v>
      </c>
      <c r="M160" t="s">
        <v>17</v>
      </c>
    </row>
    <row r="161" spans="1:13" x14ac:dyDescent="0.25">
      <c r="A161" t="s">
        <v>221</v>
      </c>
      <c r="B161">
        <f t="shared" si="2"/>
        <v>1</v>
      </c>
      <c r="C161" s="5">
        <v>45887</v>
      </c>
      <c r="D161" t="s">
        <v>13</v>
      </c>
      <c r="E161" t="s">
        <v>14</v>
      </c>
      <c r="F161" t="s">
        <v>21</v>
      </c>
      <c r="G161" t="s">
        <v>16</v>
      </c>
      <c r="H161" s="4">
        <v>5000</v>
      </c>
      <c r="I161">
        <v>3</v>
      </c>
      <c r="J161">
        <v>0.05</v>
      </c>
      <c r="K161">
        <v>14250</v>
      </c>
      <c r="L161">
        <v>0</v>
      </c>
      <c r="M161" t="s">
        <v>33</v>
      </c>
    </row>
    <row r="162" spans="1:13" x14ac:dyDescent="0.25">
      <c r="A162" t="s">
        <v>219</v>
      </c>
      <c r="B162">
        <f t="shared" si="2"/>
        <v>1</v>
      </c>
      <c r="C162" s="5">
        <v>45889</v>
      </c>
      <c r="D162" t="s">
        <v>65</v>
      </c>
      <c r="E162" t="s">
        <v>20</v>
      </c>
      <c r="F162" t="s">
        <v>47</v>
      </c>
      <c r="G162" t="s">
        <v>43</v>
      </c>
      <c r="H162" s="4">
        <v>65000</v>
      </c>
      <c r="I162">
        <v>2</v>
      </c>
      <c r="J162">
        <v>0.15</v>
      </c>
      <c r="K162">
        <v>110500</v>
      </c>
      <c r="L162">
        <v>1498.6</v>
      </c>
      <c r="M162" t="s">
        <v>33</v>
      </c>
    </row>
    <row r="163" spans="1:13" x14ac:dyDescent="0.25">
      <c r="A163" t="s">
        <v>328</v>
      </c>
      <c r="B163">
        <f t="shared" si="2"/>
        <v>1</v>
      </c>
      <c r="C163" s="5">
        <v>45889</v>
      </c>
      <c r="D163" t="s">
        <v>13</v>
      </c>
      <c r="E163" t="s">
        <v>25</v>
      </c>
      <c r="F163" t="s">
        <v>15</v>
      </c>
      <c r="G163" t="s">
        <v>22</v>
      </c>
      <c r="H163" s="4">
        <v>35000</v>
      </c>
      <c r="I163">
        <v>3</v>
      </c>
      <c r="J163">
        <v>0.15</v>
      </c>
      <c r="K163">
        <v>89250</v>
      </c>
      <c r="L163">
        <v>1726.98</v>
      </c>
      <c r="M163" t="s">
        <v>17</v>
      </c>
    </row>
    <row r="164" spans="1:13" x14ac:dyDescent="0.25">
      <c r="A164" t="s">
        <v>231</v>
      </c>
      <c r="B164">
        <f t="shared" si="2"/>
        <v>1</v>
      </c>
      <c r="C164" s="5">
        <v>45890</v>
      </c>
      <c r="D164" t="s">
        <v>13</v>
      </c>
      <c r="E164" t="s">
        <v>35</v>
      </c>
      <c r="F164" t="s">
        <v>15</v>
      </c>
      <c r="G164" t="s">
        <v>22</v>
      </c>
      <c r="H164" s="4">
        <v>35000</v>
      </c>
      <c r="I164">
        <v>3</v>
      </c>
      <c r="J164">
        <v>0.1</v>
      </c>
      <c r="K164">
        <v>94500</v>
      </c>
      <c r="L164">
        <v>1635.86</v>
      </c>
      <c r="M164" t="s">
        <v>33</v>
      </c>
    </row>
    <row r="165" spans="1:13" x14ac:dyDescent="0.25">
      <c r="A165" t="s">
        <v>163</v>
      </c>
      <c r="B165">
        <f t="shared" si="2"/>
        <v>1</v>
      </c>
      <c r="C165" s="5">
        <v>45893</v>
      </c>
      <c r="D165" t="s">
        <v>65</v>
      </c>
      <c r="E165" t="s">
        <v>14</v>
      </c>
      <c r="F165" t="s">
        <v>15</v>
      </c>
      <c r="G165" t="s">
        <v>16</v>
      </c>
      <c r="H165" s="4">
        <v>5000</v>
      </c>
      <c r="I165">
        <v>2</v>
      </c>
      <c r="J165">
        <v>0.15</v>
      </c>
      <c r="K165">
        <v>8500</v>
      </c>
      <c r="L165">
        <v>0</v>
      </c>
      <c r="M165" t="s">
        <v>17</v>
      </c>
    </row>
    <row r="166" spans="1:13" x14ac:dyDescent="0.25">
      <c r="A166" t="s">
        <v>34</v>
      </c>
      <c r="B166">
        <f t="shared" si="2"/>
        <v>1</v>
      </c>
      <c r="C166" s="5">
        <v>45897</v>
      </c>
      <c r="D166" t="s">
        <v>13</v>
      </c>
      <c r="E166" t="s">
        <v>35</v>
      </c>
      <c r="F166" t="s">
        <v>36</v>
      </c>
      <c r="G166" t="s">
        <v>16</v>
      </c>
      <c r="H166" s="4">
        <v>5000</v>
      </c>
      <c r="I166">
        <v>3</v>
      </c>
      <c r="J166">
        <v>0</v>
      </c>
      <c r="K166">
        <v>15000</v>
      </c>
      <c r="L166">
        <v>2606.4699999999998</v>
      </c>
      <c r="M166" t="s">
        <v>33</v>
      </c>
    </row>
    <row r="167" spans="1:13" x14ac:dyDescent="0.25">
      <c r="A167" t="s">
        <v>360</v>
      </c>
      <c r="B167">
        <f t="shared" si="2"/>
        <v>1</v>
      </c>
      <c r="C167" s="5">
        <v>45897</v>
      </c>
      <c r="D167" t="s">
        <v>19</v>
      </c>
      <c r="E167" t="s">
        <v>20</v>
      </c>
      <c r="F167" t="s">
        <v>15</v>
      </c>
      <c r="G167" t="s">
        <v>22</v>
      </c>
      <c r="H167" s="4">
        <v>35000</v>
      </c>
      <c r="I167">
        <v>1</v>
      </c>
      <c r="J167">
        <v>0.2</v>
      </c>
      <c r="K167">
        <v>28000</v>
      </c>
      <c r="L167">
        <v>1888.29</v>
      </c>
      <c r="M167" t="s">
        <v>17</v>
      </c>
    </row>
    <row r="168" spans="1:13" x14ac:dyDescent="0.25">
      <c r="A168" t="s">
        <v>455</v>
      </c>
      <c r="B168">
        <f t="shared" si="2"/>
        <v>1</v>
      </c>
      <c r="C168" s="5">
        <v>45897</v>
      </c>
      <c r="D168" t="s">
        <v>65</v>
      </c>
      <c r="E168" t="s">
        <v>35</v>
      </c>
      <c r="F168" t="s">
        <v>15</v>
      </c>
      <c r="G168" t="s">
        <v>16</v>
      </c>
      <c r="H168" s="4">
        <v>5000</v>
      </c>
      <c r="I168">
        <v>1</v>
      </c>
      <c r="J168">
        <v>0.15</v>
      </c>
      <c r="K168">
        <v>4250</v>
      </c>
      <c r="L168">
        <v>1709.19</v>
      </c>
      <c r="M168" t="s">
        <v>17</v>
      </c>
    </row>
    <row r="169" spans="1:13" x14ac:dyDescent="0.25">
      <c r="A169" t="s">
        <v>84</v>
      </c>
      <c r="B169">
        <f t="shared" si="2"/>
        <v>1</v>
      </c>
      <c r="C169" s="5">
        <v>45898</v>
      </c>
      <c r="D169" t="s">
        <v>19</v>
      </c>
      <c r="E169" t="s">
        <v>28</v>
      </c>
      <c r="F169" t="s">
        <v>49</v>
      </c>
      <c r="G169" t="s">
        <v>22</v>
      </c>
      <c r="H169" s="4">
        <v>35000</v>
      </c>
      <c r="I169">
        <v>3</v>
      </c>
      <c r="J169">
        <v>0</v>
      </c>
      <c r="K169">
        <v>105000</v>
      </c>
      <c r="L169">
        <v>0</v>
      </c>
      <c r="M169" t="s">
        <v>33</v>
      </c>
    </row>
    <row r="170" spans="1:13" x14ac:dyDescent="0.25">
      <c r="A170" t="s">
        <v>204</v>
      </c>
      <c r="B170">
        <f t="shared" si="2"/>
        <v>1</v>
      </c>
      <c r="C170" s="5">
        <v>45898</v>
      </c>
      <c r="D170" t="s">
        <v>24</v>
      </c>
      <c r="E170" t="s">
        <v>25</v>
      </c>
      <c r="F170" t="s">
        <v>15</v>
      </c>
      <c r="G170" t="s">
        <v>41</v>
      </c>
      <c r="H170" s="4">
        <v>15000</v>
      </c>
      <c r="I170">
        <v>1</v>
      </c>
      <c r="J170">
        <v>0</v>
      </c>
      <c r="K170">
        <v>15000</v>
      </c>
      <c r="L170">
        <v>1606.44</v>
      </c>
      <c r="M170" t="s">
        <v>17</v>
      </c>
    </row>
    <row r="171" spans="1:13" x14ac:dyDescent="0.25">
      <c r="A171" t="s">
        <v>336</v>
      </c>
      <c r="B171">
        <f t="shared" si="2"/>
        <v>1</v>
      </c>
      <c r="C171" s="5">
        <v>45898</v>
      </c>
      <c r="D171" t="s">
        <v>13</v>
      </c>
      <c r="E171" t="s">
        <v>28</v>
      </c>
      <c r="F171" t="s">
        <v>39</v>
      </c>
      <c r="G171" t="s">
        <v>16</v>
      </c>
      <c r="H171" s="4">
        <v>5000</v>
      </c>
      <c r="I171">
        <v>2</v>
      </c>
      <c r="J171">
        <v>0</v>
      </c>
      <c r="K171">
        <v>10000</v>
      </c>
      <c r="L171">
        <v>0</v>
      </c>
      <c r="M171" t="s">
        <v>17</v>
      </c>
    </row>
    <row r="172" spans="1:13" x14ac:dyDescent="0.25">
      <c r="A172" t="s">
        <v>415</v>
      </c>
      <c r="B172">
        <f t="shared" si="2"/>
        <v>1</v>
      </c>
      <c r="C172" s="5">
        <v>45899</v>
      </c>
      <c r="D172" t="s">
        <v>13</v>
      </c>
      <c r="E172" t="s">
        <v>38</v>
      </c>
      <c r="F172" t="s">
        <v>49</v>
      </c>
      <c r="G172" t="s">
        <v>41</v>
      </c>
      <c r="H172" s="4">
        <v>15000</v>
      </c>
      <c r="I172">
        <v>3</v>
      </c>
      <c r="J172">
        <v>0</v>
      </c>
      <c r="K172">
        <v>45000</v>
      </c>
      <c r="L172">
        <v>0</v>
      </c>
      <c r="M172" t="s">
        <v>33</v>
      </c>
    </row>
    <row r="173" spans="1:13" x14ac:dyDescent="0.25">
      <c r="A173" t="s">
        <v>356</v>
      </c>
      <c r="B173">
        <f t="shared" si="2"/>
        <v>1</v>
      </c>
      <c r="C173" s="5">
        <v>45900</v>
      </c>
      <c r="D173" t="s">
        <v>24</v>
      </c>
      <c r="E173" t="s">
        <v>25</v>
      </c>
      <c r="F173" t="s">
        <v>15</v>
      </c>
      <c r="G173" t="s">
        <v>22</v>
      </c>
      <c r="H173" s="4">
        <v>35000</v>
      </c>
      <c r="I173">
        <v>3</v>
      </c>
      <c r="J173">
        <v>0.15</v>
      </c>
      <c r="K173">
        <v>89250</v>
      </c>
      <c r="L173">
        <v>1412.26</v>
      </c>
      <c r="M173" t="s">
        <v>33</v>
      </c>
    </row>
    <row r="174" spans="1:13" x14ac:dyDescent="0.25">
      <c r="A174" t="s">
        <v>179</v>
      </c>
      <c r="B174">
        <f t="shared" si="2"/>
        <v>1</v>
      </c>
      <c r="C174" s="5">
        <v>45901</v>
      </c>
      <c r="D174" t="s">
        <v>19</v>
      </c>
      <c r="E174" t="s">
        <v>20</v>
      </c>
      <c r="F174" t="s">
        <v>15</v>
      </c>
      <c r="G174" t="s">
        <v>41</v>
      </c>
      <c r="H174" s="4">
        <v>15000</v>
      </c>
      <c r="I174">
        <v>3</v>
      </c>
      <c r="J174">
        <v>0</v>
      </c>
      <c r="K174">
        <v>45000</v>
      </c>
      <c r="L174">
        <v>559.77</v>
      </c>
      <c r="M174" t="s">
        <v>17</v>
      </c>
    </row>
    <row r="175" spans="1:13" x14ac:dyDescent="0.25">
      <c r="A175" t="s">
        <v>109</v>
      </c>
      <c r="B175">
        <f t="shared" si="2"/>
        <v>1</v>
      </c>
      <c r="C175" s="5">
        <v>45902</v>
      </c>
      <c r="D175" t="s">
        <v>13</v>
      </c>
      <c r="E175" t="s">
        <v>38</v>
      </c>
      <c r="F175" t="s">
        <v>36</v>
      </c>
      <c r="G175" t="s">
        <v>29</v>
      </c>
      <c r="H175" s="4">
        <v>8000</v>
      </c>
      <c r="I175">
        <v>1</v>
      </c>
      <c r="J175">
        <v>0</v>
      </c>
      <c r="K175">
        <v>8000</v>
      </c>
      <c r="L175">
        <v>0</v>
      </c>
      <c r="M175" t="s">
        <v>17</v>
      </c>
    </row>
    <row r="176" spans="1:13" x14ac:dyDescent="0.25">
      <c r="A176" t="s">
        <v>442</v>
      </c>
      <c r="B176">
        <f t="shared" si="2"/>
        <v>1</v>
      </c>
      <c r="C176" s="5">
        <v>45902</v>
      </c>
      <c r="D176" t="s">
        <v>31</v>
      </c>
      <c r="E176" t="s">
        <v>28</v>
      </c>
      <c r="F176" t="s">
        <v>15</v>
      </c>
      <c r="G176" t="s">
        <v>41</v>
      </c>
      <c r="H176" s="4">
        <v>15000</v>
      </c>
      <c r="I176">
        <v>2</v>
      </c>
      <c r="J176">
        <v>0.05</v>
      </c>
      <c r="K176">
        <v>28500</v>
      </c>
      <c r="L176">
        <v>0</v>
      </c>
      <c r="M176" t="s">
        <v>33</v>
      </c>
    </row>
    <row r="177" spans="1:13" x14ac:dyDescent="0.25">
      <c r="A177" t="s">
        <v>167</v>
      </c>
      <c r="B177">
        <f t="shared" si="2"/>
        <v>1</v>
      </c>
      <c r="C177" s="5">
        <v>45903</v>
      </c>
      <c r="D177" t="s">
        <v>13</v>
      </c>
      <c r="E177" t="s">
        <v>20</v>
      </c>
      <c r="F177" t="s">
        <v>21</v>
      </c>
      <c r="G177" t="s">
        <v>41</v>
      </c>
      <c r="H177" s="4">
        <v>15000</v>
      </c>
      <c r="I177">
        <v>1</v>
      </c>
      <c r="J177">
        <v>0.15</v>
      </c>
      <c r="K177">
        <v>12750</v>
      </c>
      <c r="L177">
        <v>1009.23</v>
      </c>
      <c r="M177" t="s">
        <v>17</v>
      </c>
    </row>
    <row r="178" spans="1:13" x14ac:dyDescent="0.25">
      <c r="A178" t="s">
        <v>133</v>
      </c>
      <c r="B178">
        <f t="shared" si="2"/>
        <v>1</v>
      </c>
      <c r="C178" s="5">
        <v>45906</v>
      </c>
      <c r="D178" t="s">
        <v>65</v>
      </c>
      <c r="E178" t="s">
        <v>28</v>
      </c>
      <c r="F178" t="s">
        <v>36</v>
      </c>
      <c r="G178" t="s">
        <v>41</v>
      </c>
      <c r="H178" s="4">
        <v>15000</v>
      </c>
      <c r="I178">
        <v>1</v>
      </c>
      <c r="J178">
        <v>0.1</v>
      </c>
      <c r="K178">
        <v>13500</v>
      </c>
      <c r="L178">
        <v>0</v>
      </c>
      <c r="M178" t="s">
        <v>17</v>
      </c>
    </row>
    <row r="179" spans="1:13" x14ac:dyDescent="0.25">
      <c r="A179" t="s">
        <v>435</v>
      </c>
      <c r="B179">
        <f t="shared" si="2"/>
        <v>1</v>
      </c>
      <c r="C179" s="5">
        <v>45906</v>
      </c>
      <c r="D179" t="s">
        <v>19</v>
      </c>
      <c r="E179" t="s">
        <v>32</v>
      </c>
      <c r="F179" t="s">
        <v>15</v>
      </c>
      <c r="G179" t="s">
        <v>41</v>
      </c>
      <c r="H179" s="4">
        <v>15000</v>
      </c>
      <c r="I179">
        <v>2</v>
      </c>
      <c r="J179">
        <v>0.15</v>
      </c>
      <c r="K179">
        <v>25500</v>
      </c>
      <c r="L179">
        <v>1200.1400000000001</v>
      </c>
      <c r="M179" t="s">
        <v>33</v>
      </c>
    </row>
    <row r="180" spans="1:13" x14ac:dyDescent="0.25">
      <c r="A180" t="s">
        <v>481</v>
      </c>
      <c r="B180">
        <f t="shared" si="2"/>
        <v>1</v>
      </c>
      <c r="C180" s="5">
        <v>45907</v>
      </c>
      <c r="D180" t="s">
        <v>13</v>
      </c>
      <c r="E180" t="s">
        <v>35</v>
      </c>
      <c r="F180" t="s">
        <v>26</v>
      </c>
      <c r="G180" t="s">
        <v>41</v>
      </c>
      <c r="H180" s="4">
        <v>15000</v>
      </c>
      <c r="I180">
        <v>3</v>
      </c>
      <c r="J180">
        <v>0.2</v>
      </c>
      <c r="K180">
        <v>36000</v>
      </c>
      <c r="L180">
        <v>2581.38</v>
      </c>
      <c r="M180" t="s">
        <v>33</v>
      </c>
    </row>
    <row r="181" spans="1:13" x14ac:dyDescent="0.25">
      <c r="A181" t="s">
        <v>416</v>
      </c>
      <c r="B181">
        <f t="shared" si="2"/>
        <v>1</v>
      </c>
      <c r="C181" s="5">
        <v>45908</v>
      </c>
      <c r="D181" t="s">
        <v>13</v>
      </c>
      <c r="E181" t="s">
        <v>35</v>
      </c>
      <c r="F181" t="s">
        <v>47</v>
      </c>
      <c r="G181" t="s">
        <v>16</v>
      </c>
      <c r="H181" s="4">
        <v>5000</v>
      </c>
      <c r="I181">
        <v>1</v>
      </c>
      <c r="J181">
        <v>0.1</v>
      </c>
      <c r="K181">
        <v>4500</v>
      </c>
      <c r="L181">
        <v>1746.4</v>
      </c>
      <c r="M181" t="s">
        <v>17</v>
      </c>
    </row>
    <row r="182" spans="1:13" x14ac:dyDescent="0.25">
      <c r="A182" t="s">
        <v>79</v>
      </c>
      <c r="B182">
        <f t="shared" si="2"/>
        <v>1</v>
      </c>
      <c r="C182" s="5">
        <v>45910</v>
      </c>
      <c r="D182" t="s">
        <v>19</v>
      </c>
      <c r="E182" t="s">
        <v>28</v>
      </c>
      <c r="F182" t="s">
        <v>15</v>
      </c>
      <c r="G182" t="s">
        <v>16</v>
      </c>
      <c r="H182" s="4">
        <v>5000</v>
      </c>
      <c r="I182">
        <v>1</v>
      </c>
      <c r="J182">
        <v>0</v>
      </c>
      <c r="K182">
        <v>5000</v>
      </c>
      <c r="L182">
        <v>0</v>
      </c>
      <c r="M182" t="s">
        <v>33</v>
      </c>
    </row>
    <row r="183" spans="1:13" x14ac:dyDescent="0.25">
      <c r="A183" t="s">
        <v>186</v>
      </c>
      <c r="B183">
        <f t="shared" si="2"/>
        <v>1</v>
      </c>
      <c r="C183" s="5">
        <v>45913</v>
      </c>
      <c r="D183" t="s">
        <v>24</v>
      </c>
      <c r="E183" t="s">
        <v>14</v>
      </c>
      <c r="F183" t="s">
        <v>15</v>
      </c>
      <c r="G183" t="s">
        <v>22</v>
      </c>
      <c r="H183" s="4">
        <v>35000</v>
      </c>
      <c r="I183">
        <v>1</v>
      </c>
      <c r="J183">
        <v>0</v>
      </c>
      <c r="K183">
        <v>35000</v>
      </c>
      <c r="L183">
        <v>0</v>
      </c>
      <c r="M183" t="s">
        <v>33</v>
      </c>
    </row>
    <row r="184" spans="1:13" x14ac:dyDescent="0.25">
      <c r="A184" t="s">
        <v>289</v>
      </c>
      <c r="B184">
        <f t="shared" si="2"/>
        <v>1</v>
      </c>
      <c r="C184" s="5">
        <v>45914</v>
      </c>
      <c r="D184" t="s">
        <v>13</v>
      </c>
      <c r="E184" t="s">
        <v>25</v>
      </c>
      <c r="F184" t="s">
        <v>21</v>
      </c>
      <c r="G184" t="s">
        <v>41</v>
      </c>
      <c r="H184" s="4">
        <v>15000</v>
      </c>
      <c r="I184">
        <v>1</v>
      </c>
      <c r="J184">
        <v>0</v>
      </c>
      <c r="K184">
        <v>15000</v>
      </c>
      <c r="L184">
        <v>2801.4</v>
      </c>
      <c r="M184" t="s">
        <v>33</v>
      </c>
    </row>
    <row r="185" spans="1:13" x14ac:dyDescent="0.25">
      <c r="A185" t="s">
        <v>175</v>
      </c>
      <c r="B185">
        <f t="shared" si="2"/>
        <v>1</v>
      </c>
      <c r="C185" s="5">
        <v>45915</v>
      </c>
      <c r="D185" t="s">
        <v>19</v>
      </c>
      <c r="E185" t="s">
        <v>35</v>
      </c>
      <c r="F185" t="s">
        <v>39</v>
      </c>
      <c r="G185" t="s">
        <v>43</v>
      </c>
      <c r="H185" s="4">
        <v>65000</v>
      </c>
      <c r="I185">
        <v>1</v>
      </c>
      <c r="J185">
        <v>0</v>
      </c>
      <c r="K185">
        <v>65000</v>
      </c>
      <c r="L185">
        <v>2980.95</v>
      </c>
      <c r="M185" t="s">
        <v>33</v>
      </c>
    </row>
    <row r="186" spans="1:13" x14ac:dyDescent="0.25">
      <c r="A186" t="s">
        <v>130</v>
      </c>
      <c r="B186">
        <f t="shared" si="2"/>
        <v>1</v>
      </c>
      <c r="C186" s="5">
        <v>45917</v>
      </c>
      <c r="D186" t="s">
        <v>13</v>
      </c>
      <c r="E186" t="s">
        <v>28</v>
      </c>
      <c r="F186" t="s">
        <v>21</v>
      </c>
      <c r="G186" t="s">
        <v>41</v>
      </c>
      <c r="H186" s="4">
        <v>15000</v>
      </c>
      <c r="I186">
        <v>2</v>
      </c>
      <c r="J186">
        <v>0.05</v>
      </c>
      <c r="K186">
        <v>28500</v>
      </c>
      <c r="L186">
        <v>0</v>
      </c>
      <c r="M186" t="s">
        <v>17</v>
      </c>
    </row>
    <row r="187" spans="1:13" x14ac:dyDescent="0.25">
      <c r="A187" t="s">
        <v>137</v>
      </c>
      <c r="B187">
        <f t="shared" si="2"/>
        <v>1</v>
      </c>
      <c r="C187" s="5">
        <v>45918</v>
      </c>
      <c r="D187" t="s">
        <v>31</v>
      </c>
      <c r="E187" t="s">
        <v>28</v>
      </c>
      <c r="F187" t="s">
        <v>15</v>
      </c>
      <c r="G187" t="s">
        <v>22</v>
      </c>
      <c r="H187" s="4">
        <v>35000</v>
      </c>
      <c r="I187">
        <v>2</v>
      </c>
      <c r="J187">
        <v>0.15</v>
      </c>
      <c r="K187">
        <v>59500</v>
      </c>
      <c r="L187">
        <v>0</v>
      </c>
      <c r="M187" t="s">
        <v>17</v>
      </c>
    </row>
    <row r="188" spans="1:13" x14ac:dyDescent="0.25">
      <c r="A188" t="s">
        <v>154</v>
      </c>
      <c r="B188">
        <f t="shared" si="2"/>
        <v>1</v>
      </c>
      <c r="C188" s="5">
        <v>45920</v>
      </c>
      <c r="D188" t="s">
        <v>13</v>
      </c>
      <c r="E188" t="s">
        <v>20</v>
      </c>
      <c r="F188" t="s">
        <v>21</v>
      </c>
      <c r="G188" t="s">
        <v>22</v>
      </c>
      <c r="H188" s="4">
        <v>35000</v>
      </c>
      <c r="I188">
        <v>3</v>
      </c>
      <c r="J188">
        <v>0</v>
      </c>
      <c r="K188">
        <v>105000</v>
      </c>
      <c r="L188">
        <v>3420.88</v>
      </c>
      <c r="M188" t="s">
        <v>33</v>
      </c>
    </row>
    <row r="189" spans="1:13" x14ac:dyDescent="0.25">
      <c r="A189" t="s">
        <v>238</v>
      </c>
      <c r="B189">
        <f t="shared" si="2"/>
        <v>1</v>
      </c>
      <c r="C189" s="5">
        <v>45922</v>
      </c>
      <c r="D189" t="s">
        <v>31</v>
      </c>
      <c r="E189" t="s">
        <v>25</v>
      </c>
      <c r="F189" t="s">
        <v>26</v>
      </c>
      <c r="G189" t="s">
        <v>43</v>
      </c>
      <c r="H189" s="4">
        <v>65000</v>
      </c>
      <c r="I189">
        <v>1</v>
      </c>
      <c r="J189">
        <v>0.1</v>
      </c>
      <c r="K189">
        <v>58500</v>
      </c>
      <c r="L189">
        <v>3391.55</v>
      </c>
      <c r="M189" t="s">
        <v>17</v>
      </c>
    </row>
    <row r="190" spans="1:13" x14ac:dyDescent="0.25">
      <c r="A190" t="s">
        <v>286</v>
      </c>
      <c r="B190">
        <f t="shared" si="2"/>
        <v>1</v>
      </c>
      <c r="C190" s="5">
        <v>45922</v>
      </c>
      <c r="D190" t="s">
        <v>24</v>
      </c>
      <c r="E190" t="s">
        <v>38</v>
      </c>
      <c r="F190" t="s">
        <v>15</v>
      </c>
      <c r="G190" t="s">
        <v>43</v>
      </c>
      <c r="H190" s="4">
        <v>65000</v>
      </c>
      <c r="I190">
        <v>1</v>
      </c>
      <c r="J190">
        <v>0.05</v>
      </c>
      <c r="K190">
        <v>61750</v>
      </c>
      <c r="L190">
        <v>0</v>
      </c>
      <c r="M190" t="s">
        <v>33</v>
      </c>
    </row>
    <row r="191" spans="1:13" x14ac:dyDescent="0.25">
      <c r="A191" t="s">
        <v>156</v>
      </c>
      <c r="B191">
        <f t="shared" si="2"/>
        <v>1</v>
      </c>
      <c r="C191" s="5">
        <v>45924</v>
      </c>
      <c r="D191" t="s">
        <v>24</v>
      </c>
      <c r="E191" t="s">
        <v>25</v>
      </c>
      <c r="F191" t="s">
        <v>21</v>
      </c>
      <c r="G191" t="s">
        <v>41</v>
      </c>
      <c r="H191" s="4">
        <v>15000</v>
      </c>
      <c r="I191">
        <v>1</v>
      </c>
      <c r="J191">
        <v>0</v>
      </c>
      <c r="K191">
        <v>15000</v>
      </c>
      <c r="L191">
        <v>949.96</v>
      </c>
      <c r="M191" t="s">
        <v>33</v>
      </c>
    </row>
    <row r="192" spans="1:13" x14ac:dyDescent="0.25">
      <c r="A192" t="s">
        <v>214</v>
      </c>
      <c r="B192">
        <f t="shared" si="2"/>
        <v>1</v>
      </c>
      <c r="C192" s="5">
        <v>45924</v>
      </c>
      <c r="D192" t="s">
        <v>65</v>
      </c>
      <c r="E192" t="s">
        <v>20</v>
      </c>
      <c r="F192" t="s">
        <v>21</v>
      </c>
      <c r="G192" t="s">
        <v>16</v>
      </c>
      <c r="H192" s="4">
        <v>5000</v>
      </c>
      <c r="I192">
        <v>3</v>
      </c>
      <c r="J192">
        <v>0.05</v>
      </c>
      <c r="K192">
        <v>14250</v>
      </c>
      <c r="L192">
        <v>3104.39</v>
      </c>
      <c r="M192" t="s">
        <v>17</v>
      </c>
    </row>
    <row r="193" spans="1:13" x14ac:dyDescent="0.25">
      <c r="A193" t="s">
        <v>233</v>
      </c>
      <c r="B193">
        <f t="shared" si="2"/>
        <v>1</v>
      </c>
      <c r="C193" s="5">
        <v>45924</v>
      </c>
      <c r="D193" t="s">
        <v>31</v>
      </c>
      <c r="E193" t="s">
        <v>35</v>
      </c>
      <c r="F193" t="s">
        <v>49</v>
      </c>
      <c r="G193" t="s">
        <v>29</v>
      </c>
      <c r="H193" s="4">
        <v>8000</v>
      </c>
      <c r="I193">
        <v>1</v>
      </c>
      <c r="J193">
        <v>0</v>
      </c>
      <c r="K193">
        <v>8000</v>
      </c>
      <c r="L193">
        <v>966.31</v>
      </c>
      <c r="M193" t="s">
        <v>17</v>
      </c>
    </row>
    <row r="194" spans="1:13" x14ac:dyDescent="0.25">
      <c r="A194" t="s">
        <v>373</v>
      </c>
      <c r="B194">
        <f t="shared" ref="B194:B257" si="3">COUNTIF($A:$A,A194)</f>
        <v>1</v>
      </c>
      <c r="C194" s="5">
        <v>45925</v>
      </c>
      <c r="D194" t="s">
        <v>19</v>
      </c>
      <c r="E194" t="s">
        <v>25</v>
      </c>
      <c r="F194" t="s">
        <v>39</v>
      </c>
      <c r="G194" t="s">
        <v>16</v>
      </c>
      <c r="H194" s="4">
        <v>5000</v>
      </c>
      <c r="I194">
        <v>1</v>
      </c>
      <c r="J194">
        <v>0.05</v>
      </c>
      <c r="K194">
        <v>4750</v>
      </c>
      <c r="L194">
        <v>2358.2800000000002</v>
      </c>
      <c r="M194" t="s">
        <v>17</v>
      </c>
    </row>
    <row r="195" spans="1:13" x14ac:dyDescent="0.25">
      <c r="A195" t="s">
        <v>471</v>
      </c>
      <c r="B195">
        <f t="shared" si="3"/>
        <v>1</v>
      </c>
      <c r="C195" s="5">
        <v>45926</v>
      </c>
      <c r="D195" t="s">
        <v>65</v>
      </c>
      <c r="E195" t="s">
        <v>32</v>
      </c>
      <c r="F195" t="s">
        <v>39</v>
      </c>
      <c r="G195" t="s">
        <v>29</v>
      </c>
      <c r="H195" s="4">
        <v>8000</v>
      </c>
      <c r="I195">
        <v>3</v>
      </c>
      <c r="J195">
        <v>0.15</v>
      </c>
      <c r="K195">
        <v>20400</v>
      </c>
      <c r="L195">
        <v>1086.45</v>
      </c>
      <c r="M195" t="s">
        <v>17</v>
      </c>
    </row>
    <row r="196" spans="1:13" x14ac:dyDescent="0.25">
      <c r="A196" t="s">
        <v>284</v>
      </c>
      <c r="B196">
        <f t="shared" si="3"/>
        <v>1</v>
      </c>
      <c r="C196" s="5">
        <v>45929</v>
      </c>
      <c r="D196" t="s">
        <v>13</v>
      </c>
      <c r="E196" t="s">
        <v>35</v>
      </c>
      <c r="F196" t="s">
        <v>15</v>
      </c>
      <c r="G196" t="s">
        <v>16</v>
      </c>
      <c r="H196" s="4">
        <v>5000</v>
      </c>
      <c r="I196">
        <v>2</v>
      </c>
      <c r="J196">
        <v>0</v>
      </c>
      <c r="K196">
        <v>10000</v>
      </c>
      <c r="L196">
        <v>3289.25</v>
      </c>
      <c r="M196" t="s">
        <v>33</v>
      </c>
    </row>
    <row r="197" spans="1:13" x14ac:dyDescent="0.25">
      <c r="A197" t="s">
        <v>307</v>
      </c>
      <c r="B197">
        <f t="shared" si="3"/>
        <v>1</v>
      </c>
      <c r="C197" s="5">
        <v>45929</v>
      </c>
      <c r="D197" t="s">
        <v>13</v>
      </c>
      <c r="E197" t="s">
        <v>32</v>
      </c>
      <c r="F197" t="s">
        <v>21</v>
      </c>
      <c r="G197" t="s">
        <v>22</v>
      </c>
      <c r="H197" s="4">
        <v>35000</v>
      </c>
      <c r="I197">
        <v>1</v>
      </c>
      <c r="J197">
        <v>0</v>
      </c>
      <c r="K197">
        <v>35000</v>
      </c>
      <c r="L197">
        <v>1972.79</v>
      </c>
      <c r="M197" t="s">
        <v>17</v>
      </c>
    </row>
    <row r="198" spans="1:13" x14ac:dyDescent="0.25">
      <c r="A198" t="s">
        <v>48</v>
      </c>
      <c r="B198">
        <f t="shared" si="3"/>
        <v>1</v>
      </c>
      <c r="C198" s="5">
        <v>45930</v>
      </c>
      <c r="D198" t="s">
        <v>24</v>
      </c>
      <c r="E198" t="s">
        <v>32</v>
      </c>
      <c r="F198" t="s">
        <v>49</v>
      </c>
      <c r="G198" t="s">
        <v>43</v>
      </c>
      <c r="H198" s="4">
        <v>65000</v>
      </c>
      <c r="I198">
        <v>2</v>
      </c>
      <c r="J198">
        <v>0.05</v>
      </c>
      <c r="K198">
        <v>123500</v>
      </c>
      <c r="L198">
        <v>1707.42</v>
      </c>
      <c r="M198" t="s">
        <v>17</v>
      </c>
    </row>
    <row r="199" spans="1:13" x14ac:dyDescent="0.25">
      <c r="A199" t="s">
        <v>334</v>
      </c>
      <c r="B199">
        <f t="shared" si="3"/>
        <v>1</v>
      </c>
      <c r="C199" s="5">
        <v>45930</v>
      </c>
      <c r="D199" t="s">
        <v>13</v>
      </c>
      <c r="E199" t="s">
        <v>20</v>
      </c>
      <c r="F199" t="s">
        <v>21</v>
      </c>
      <c r="G199" t="s">
        <v>22</v>
      </c>
      <c r="H199" s="4">
        <v>35000</v>
      </c>
      <c r="I199">
        <v>2</v>
      </c>
      <c r="J199">
        <v>0.2</v>
      </c>
      <c r="K199">
        <v>56000</v>
      </c>
      <c r="L199">
        <v>204.51</v>
      </c>
      <c r="M199" t="s">
        <v>33</v>
      </c>
    </row>
    <row r="200" spans="1:13" x14ac:dyDescent="0.25">
      <c r="A200" t="s">
        <v>427</v>
      </c>
      <c r="B200">
        <f t="shared" si="3"/>
        <v>1</v>
      </c>
      <c r="C200" s="5">
        <v>45932</v>
      </c>
      <c r="D200" t="s">
        <v>19</v>
      </c>
      <c r="E200" t="s">
        <v>20</v>
      </c>
      <c r="F200" t="s">
        <v>39</v>
      </c>
      <c r="G200" t="s">
        <v>41</v>
      </c>
      <c r="H200" s="4">
        <v>15000</v>
      </c>
      <c r="I200">
        <v>3</v>
      </c>
      <c r="J200">
        <v>0.1</v>
      </c>
      <c r="K200">
        <v>40500</v>
      </c>
      <c r="L200">
        <v>249.92</v>
      </c>
      <c r="M200" t="s">
        <v>17</v>
      </c>
    </row>
    <row r="201" spans="1:13" x14ac:dyDescent="0.25">
      <c r="A201" t="s">
        <v>240</v>
      </c>
      <c r="B201">
        <f t="shared" si="3"/>
        <v>1</v>
      </c>
      <c r="C201" s="5">
        <v>45939</v>
      </c>
      <c r="D201" t="s">
        <v>19</v>
      </c>
      <c r="E201" t="s">
        <v>32</v>
      </c>
      <c r="F201" t="s">
        <v>15</v>
      </c>
      <c r="G201" t="s">
        <v>41</v>
      </c>
      <c r="H201" s="4">
        <v>15000</v>
      </c>
      <c r="I201">
        <v>1</v>
      </c>
      <c r="J201">
        <v>0.2</v>
      </c>
      <c r="K201">
        <v>12000</v>
      </c>
      <c r="L201">
        <v>1615.48</v>
      </c>
      <c r="M201" t="s">
        <v>17</v>
      </c>
    </row>
    <row r="202" spans="1:13" x14ac:dyDescent="0.25">
      <c r="A202" t="s">
        <v>71</v>
      </c>
      <c r="B202">
        <f t="shared" si="3"/>
        <v>1</v>
      </c>
      <c r="C202" s="5">
        <v>45942</v>
      </c>
      <c r="D202" t="s">
        <v>31</v>
      </c>
      <c r="E202" t="s">
        <v>35</v>
      </c>
      <c r="F202" t="s">
        <v>49</v>
      </c>
      <c r="G202" t="s">
        <v>43</v>
      </c>
      <c r="H202" s="4">
        <v>65000</v>
      </c>
      <c r="I202">
        <v>2</v>
      </c>
      <c r="J202">
        <v>0</v>
      </c>
      <c r="K202">
        <v>130000</v>
      </c>
      <c r="L202">
        <v>2342.65</v>
      </c>
      <c r="M202" t="s">
        <v>17</v>
      </c>
    </row>
    <row r="203" spans="1:13" x14ac:dyDescent="0.25">
      <c r="A203" t="s">
        <v>197</v>
      </c>
      <c r="B203">
        <f t="shared" si="3"/>
        <v>1</v>
      </c>
      <c r="C203" s="5">
        <v>45946</v>
      </c>
      <c r="D203" t="s">
        <v>13</v>
      </c>
      <c r="E203" t="s">
        <v>28</v>
      </c>
      <c r="F203" t="s">
        <v>15</v>
      </c>
      <c r="G203" t="s">
        <v>29</v>
      </c>
      <c r="H203" s="4">
        <v>8000</v>
      </c>
      <c r="I203">
        <v>2</v>
      </c>
      <c r="J203">
        <v>0</v>
      </c>
      <c r="K203">
        <v>16000</v>
      </c>
      <c r="L203">
        <v>0</v>
      </c>
      <c r="M203" t="s">
        <v>17</v>
      </c>
    </row>
    <row r="204" spans="1:13" x14ac:dyDescent="0.25">
      <c r="A204" t="s">
        <v>62</v>
      </c>
      <c r="B204">
        <f t="shared" si="3"/>
        <v>1</v>
      </c>
      <c r="C204" s="5">
        <v>45947</v>
      </c>
      <c r="D204" t="s">
        <v>63</v>
      </c>
      <c r="E204" t="s">
        <v>20</v>
      </c>
      <c r="F204" t="s">
        <v>15</v>
      </c>
      <c r="G204" t="s">
        <v>16</v>
      </c>
      <c r="H204" s="4">
        <v>5000</v>
      </c>
      <c r="I204">
        <v>1</v>
      </c>
      <c r="J204">
        <v>0.05</v>
      </c>
      <c r="K204">
        <v>4750</v>
      </c>
      <c r="L204">
        <v>2021.9</v>
      </c>
      <c r="M204" t="s">
        <v>17</v>
      </c>
    </row>
    <row r="205" spans="1:13" x14ac:dyDescent="0.25">
      <c r="A205" t="s">
        <v>367</v>
      </c>
      <c r="B205">
        <f t="shared" si="3"/>
        <v>1</v>
      </c>
      <c r="C205" s="5">
        <v>45947</v>
      </c>
      <c r="D205" t="s">
        <v>13</v>
      </c>
      <c r="E205" t="s">
        <v>35</v>
      </c>
      <c r="F205" t="s">
        <v>15</v>
      </c>
      <c r="G205" t="s">
        <v>16</v>
      </c>
      <c r="H205" s="4">
        <v>5000</v>
      </c>
      <c r="I205">
        <v>1</v>
      </c>
      <c r="J205">
        <v>0.2</v>
      </c>
      <c r="K205">
        <v>4000</v>
      </c>
      <c r="L205">
        <v>2035.4</v>
      </c>
      <c r="M205" t="s">
        <v>17</v>
      </c>
    </row>
    <row r="206" spans="1:13" x14ac:dyDescent="0.25">
      <c r="A206" t="s">
        <v>239</v>
      </c>
      <c r="B206">
        <f t="shared" si="3"/>
        <v>1</v>
      </c>
      <c r="C206" s="5">
        <v>45948</v>
      </c>
      <c r="D206" t="s">
        <v>65</v>
      </c>
      <c r="E206" t="s">
        <v>38</v>
      </c>
      <c r="F206" t="s">
        <v>15</v>
      </c>
      <c r="G206" t="s">
        <v>43</v>
      </c>
      <c r="H206" s="4">
        <v>65000</v>
      </c>
      <c r="I206">
        <v>1</v>
      </c>
      <c r="J206">
        <v>0.1</v>
      </c>
      <c r="K206">
        <v>58500</v>
      </c>
      <c r="L206">
        <v>0</v>
      </c>
      <c r="M206" t="s">
        <v>17</v>
      </c>
    </row>
    <row r="207" spans="1:13" x14ac:dyDescent="0.25">
      <c r="A207" t="s">
        <v>479</v>
      </c>
      <c r="B207">
        <f t="shared" si="3"/>
        <v>1</v>
      </c>
      <c r="C207" s="5">
        <v>45953</v>
      </c>
      <c r="D207" t="s">
        <v>13</v>
      </c>
      <c r="E207" t="s">
        <v>35</v>
      </c>
      <c r="F207" t="s">
        <v>15</v>
      </c>
      <c r="G207" t="s">
        <v>41</v>
      </c>
      <c r="H207" s="4">
        <v>15000</v>
      </c>
      <c r="I207">
        <v>2</v>
      </c>
      <c r="J207">
        <v>0.2</v>
      </c>
      <c r="K207">
        <v>24000</v>
      </c>
      <c r="L207">
        <v>1521.32</v>
      </c>
      <c r="M207" t="s">
        <v>17</v>
      </c>
    </row>
    <row r="208" spans="1:13" x14ac:dyDescent="0.25">
      <c r="A208" t="s">
        <v>108</v>
      </c>
      <c r="B208">
        <f t="shared" si="3"/>
        <v>1</v>
      </c>
      <c r="C208" s="5">
        <v>45956</v>
      </c>
      <c r="D208" t="s">
        <v>31</v>
      </c>
      <c r="E208" t="s">
        <v>25</v>
      </c>
      <c r="F208" t="s">
        <v>36</v>
      </c>
      <c r="G208" t="s">
        <v>22</v>
      </c>
      <c r="H208" s="4">
        <v>35000</v>
      </c>
      <c r="I208">
        <v>2</v>
      </c>
      <c r="J208">
        <v>0.15</v>
      </c>
      <c r="K208">
        <v>59500</v>
      </c>
      <c r="L208">
        <v>2507.66</v>
      </c>
      <c r="M208" t="s">
        <v>17</v>
      </c>
    </row>
    <row r="209" spans="1:13" x14ac:dyDescent="0.25">
      <c r="A209" t="s">
        <v>194</v>
      </c>
      <c r="B209">
        <f t="shared" si="3"/>
        <v>1</v>
      </c>
      <c r="C209" s="5">
        <v>45958</v>
      </c>
      <c r="D209" t="s">
        <v>13</v>
      </c>
      <c r="E209" t="s">
        <v>38</v>
      </c>
      <c r="F209" t="s">
        <v>49</v>
      </c>
      <c r="G209" t="s">
        <v>43</v>
      </c>
      <c r="H209" s="4">
        <v>65000</v>
      </c>
      <c r="I209">
        <v>2</v>
      </c>
      <c r="J209">
        <v>0</v>
      </c>
      <c r="K209">
        <v>130000</v>
      </c>
      <c r="L209">
        <v>0</v>
      </c>
      <c r="M209" t="s">
        <v>33</v>
      </c>
    </row>
    <row r="210" spans="1:13" x14ac:dyDescent="0.25">
      <c r="A210" t="s">
        <v>53</v>
      </c>
      <c r="B210">
        <f t="shared" si="3"/>
        <v>1</v>
      </c>
      <c r="C210" s="5">
        <v>45961</v>
      </c>
      <c r="D210" t="s">
        <v>13</v>
      </c>
      <c r="E210" t="s">
        <v>35</v>
      </c>
      <c r="F210" t="s">
        <v>21</v>
      </c>
      <c r="G210" t="s">
        <v>43</v>
      </c>
      <c r="H210" s="4">
        <v>65000</v>
      </c>
      <c r="I210">
        <v>1</v>
      </c>
      <c r="J210">
        <v>0</v>
      </c>
      <c r="K210">
        <v>65000</v>
      </c>
      <c r="L210">
        <v>406.69</v>
      </c>
      <c r="M210" t="s">
        <v>33</v>
      </c>
    </row>
    <row r="211" spans="1:13" x14ac:dyDescent="0.25">
      <c r="A211" t="s">
        <v>276</v>
      </c>
      <c r="B211">
        <f t="shared" si="3"/>
        <v>1</v>
      </c>
      <c r="C211" s="5">
        <v>45962</v>
      </c>
      <c r="D211" t="s">
        <v>65</v>
      </c>
      <c r="E211" t="s">
        <v>25</v>
      </c>
      <c r="F211" t="s">
        <v>26</v>
      </c>
      <c r="G211" t="s">
        <v>22</v>
      </c>
      <c r="H211" s="4">
        <v>35000</v>
      </c>
      <c r="I211">
        <v>3</v>
      </c>
      <c r="J211">
        <v>0.05</v>
      </c>
      <c r="K211">
        <v>99750</v>
      </c>
      <c r="L211">
        <v>2230.35</v>
      </c>
      <c r="M211" t="s">
        <v>17</v>
      </c>
    </row>
    <row r="212" spans="1:13" x14ac:dyDescent="0.25">
      <c r="A212" t="s">
        <v>116</v>
      </c>
      <c r="B212">
        <f t="shared" si="3"/>
        <v>1</v>
      </c>
      <c r="C212" s="5">
        <v>45963</v>
      </c>
      <c r="D212" t="s">
        <v>65</v>
      </c>
      <c r="E212" t="s">
        <v>25</v>
      </c>
      <c r="F212" t="s">
        <v>39</v>
      </c>
      <c r="G212" t="s">
        <v>16</v>
      </c>
      <c r="H212" s="4">
        <v>5000</v>
      </c>
      <c r="I212">
        <v>1</v>
      </c>
      <c r="J212">
        <v>0</v>
      </c>
      <c r="K212">
        <v>5000</v>
      </c>
      <c r="L212">
        <v>1175.81</v>
      </c>
      <c r="M212" t="s">
        <v>17</v>
      </c>
    </row>
    <row r="213" spans="1:13" x14ac:dyDescent="0.25">
      <c r="A213" t="s">
        <v>311</v>
      </c>
      <c r="B213">
        <f t="shared" si="3"/>
        <v>1</v>
      </c>
      <c r="C213" s="5">
        <v>45963</v>
      </c>
      <c r="D213" t="s">
        <v>24</v>
      </c>
      <c r="E213" t="s">
        <v>35</v>
      </c>
      <c r="F213" t="s">
        <v>36</v>
      </c>
      <c r="G213" t="s">
        <v>29</v>
      </c>
      <c r="H213" s="4">
        <v>8000</v>
      </c>
      <c r="I213">
        <v>1</v>
      </c>
      <c r="J213">
        <v>0.1</v>
      </c>
      <c r="K213">
        <v>7200</v>
      </c>
      <c r="L213">
        <v>2058.81</v>
      </c>
      <c r="M213" t="s">
        <v>33</v>
      </c>
    </row>
    <row r="214" spans="1:13" x14ac:dyDescent="0.25">
      <c r="A214" t="s">
        <v>474</v>
      </c>
      <c r="B214">
        <f t="shared" si="3"/>
        <v>1</v>
      </c>
      <c r="C214" s="5">
        <v>45964</v>
      </c>
      <c r="D214" t="s">
        <v>13</v>
      </c>
      <c r="E214" t="s">
        <v>14</v>
      </c>
      <c r="F214" t="s">
        <v>21</v>
      </c>
      <c r="G214" t="s">
        <v>22</v>
      </c>
      <c r="H214" s="4">
        <v>35000</v>
      </c>
      <c r="I214">
        <v>3</v>
      </c>
      <c r="J214">
        <v>0.05</v>
      </c>
      <c r="K214">
        <v>99750</v>
      </c>
      <c r="L214">
        <v>0</v>
      </c>
      <c r="M214" t="s">
        <v>17</v>
      </c>
    </row>
    <row r="215" spans="1:13" x14ac:dyDescent="0.25">
      <c r="A215" t="s">
        <v>132</v>
      </c>
      <c r="B215">
        <f t="shared" si="3"/>
        <v>1</v>
      </c>
      <c r="C215" s="5">
        <v>45965</v>
      </c>
      <c r="D215" t="s">
        <v>24</v>
      </c>
      <c r="E215" t="s">
        <v>14</v>
      </c>
      <c r="F215" t="s">
        <v>15</v>
      </c>
      <c r="G215" t="s">
        <v>16</v>
      </c>
      <c r="H215" s="4">
        <v>5000</v>
      </c>
      <c r="I215">
        <v>2</v>
      </c>
      <c r="J215">
        <v>0</v>
      </c>
      <c r="K215">
        <v>10000</v>
      </c>
      <c r="L215">
        <v>0</v>
      </c>
      <c r="M215" t="s">
        <v>33</v>
      </c>
    </row>
    <row r="216" spans="1:13" x14ac:dyDescent="0.25">
      <c r="A216" t="s">
        <v>189</v>
      </c>
      <c r="B216">
        <f t="shared" si="3"/>
        <v>1</v>
      </c>
      <c r="C216" s="5">
        <v>45968</v>
      </c>
      <c r="D216" t="s">
        <v>31</v>
      </c>
      <c r="E216" t="s">
        <v>20</v>
      </c>
      <c r="F216" t="s">
        <v>36</v>
      </c>
      <c r="G216" t="s">
        <v>41</v>
      </c>
      <c r="H216" s="4">
        <v>15000</v>
      </c>
      <c r="I216">
        <v>1</v>
      </c>
      <c r="J216">
        <v>0.1</v>
      </c>
      <c r="K216">
        <v>13500</v>
      </c>
      <c r="L216">
        <v>1753.99</v>
      </c>
      <c r="M216" t="s">
        <v>33</v>
      </c>
    </row>
    <row r="217" spans="1:13" x14ac:dyDescent="0.25">
      <c r="A217" t="s">
        <v>421</v>
      </c>
      <c r="B217">
        <f t="shared" si="3"/>
        <v>1</v>
      </c>
      <c r="C217" s="5">
        <v>45969</v>
      </c>
      <c r="D217" t="s">
        <v>13</v>
      </c>
      <c r="E217" t="s">
        <v>38</v>
      </c>
      <c r="F217" t="s">
        <v>15</v>
      </c>
      <c r="G217" t="s">
        <v>22</v>
      </c>
      <c r="H217" s="4">
        <v>35000</v>
      </c>
      <c r="I217">
        <v>1</v>
      </c>
      <c r="J217">
        <v>0.05</v>
      </c>
      <c r="K217">
        <v>33250</v>
      </c>
      <c r="L217">
        <v>0</v>
      </c>
      <c r="M217" t="s">
        <v>17</v>
      </c>
    </row>
    <row r="218" spans="1:13" x14ac:dyDescent="0.25">
      <c r="A218" t="s">
        <v>463</v>
      </c>
      <c r="B218">
        <f t="shared" si="3"/>
        <v>1</v>
      </c>
      <c r="C218" s="5">
        <v>45969</v>
      </c>
      <c r="D218" t="s">
        <v>13</v>
      </c>
      <c r="E218" t="s">
        <v>20</v>
      </c>
      <c r="F218" t="s">
        <v>36</v>
      </c>
      <c r="G218" t="s">
        <v>43</v>
      </c>
      <c r="H218" s="4">
        <v>65000</v>
      </c>
      <c r="I218">
        <v>1</v>
      </c>
      <c r="J218">
        <v>0.2</v>
      </c>
      <c r="K218">
        <v>52000</v>
      </c>
      <c r="L218">
        <v>2469.5300000000002</v>
      </c>
      <c r="M218" t="s">
        <v>17</v>
      </c>
    </row>
    <row r="219" spans="1:13" x14ac:dyDescent="0.25">
      <c r="A219" t="s">
        <v>439</v>
      </c>
      <c r="B219">
        <f t="shared" si="3"/>
        <v>1</v>
      </c>
      <c r="C219" s="5">
        <v>45971</v>
      </c>
      <c r="D219" t="s">
        <v>13</v>
      </c>
      <c r="E219" t="s">
        <v>28</v>
      </c>
      <c r="F219" t="s">
        <v>21</v>
      </c>
      <c r="G219" t="s">
        <v>41</v>
      </c>
      <c r="H219" s="4">
        <v>15000</v>
      </c>
      <c r="I219">
        <v>1</v>
      </c>
      <c r="J219">
        <v>0</v>
      </c>
      <c r="K219">
        <v>15000</v>
      </c>
      <c r="L219">
        <v>0</v>
      </c>
      <c r="M219" t="s">
        <v>17</v>
      </c>
    </row>
    <row r="220" spans="1:13" x14ac:dyDescent="0.25">
      <c r="A220" t="s">
        <v>441</v>
      </c>
      <c r="B220">
        <f t="shared" si="3"/>
        <v>1</v>
      </c>
      <c r="C220" s="5">
        <v>45972</v>
      </c>
      <c r="D220" t="s">
        <v>19</v>
      </c>
      <c r="E220" t="s">
        <v>14</v>
      </c>
      <c r="F220" t="s">
        <v>49</v>
      </c>
      <c r="G220" t="s">
        <v>22</v>
      </c>
      <c r="H220" s="4">
        <v>35000</v>
      </c>
      <c r="I220">
        <v>2</v>
      </c>
      <c r="J220">
        <v>0</v>
      </c>
      <c r="K220">
        <v>70000</v>
      </c>
      <c r="L220">
        <v>0</v>
      </c>
      <c r="M220" t="s">
        <v>17</v>
      </c>
    </row>
    <row r="221" spans="1:13" x14ac:dyDescent="0.25">
      <c r="A221" t="s">
        <v>443</v>
      </c>
      <c r="B221">
        <f t="shared" si="3"/>
        <v>1</v>
      </c>
      <c r="C221" s="5">
        <v>45972</v>
      </c>
      <c r="D221" t="s">
        <v>13</v>
      </c>
      <c r="E221" t="s">
        <v>35</v>
      </c>
      <c r="F221" t="s">
        <v>39</v>
      </c>
      <c r="G221" t="s">
        <v>41</v>
      </c>
      <c r="H221" s="4">
        <v>15000</v>
      </c>
      <c r="I221">
        <v>2</v>
      </c>
      <c r="J221">
        <v>0.05</v>
      </c>
      <c r="K221">
        <v>28500</v>
      </c>
      <c r="L221">
        <v>1880.9</v>
      </c>
      <c r="M221" t="s">
        <v>17</v>
      </c>
    </row>
    <row r="222" spans="1:13" x14ac:dyDescent="0.25">
      <c r="A222" t="s">
        <v>256</v>
      </c>
      <c r="B222">
        <f t="shared" si="3"/>
        <v>1</v>
      </c>
      <c r="C222" s="5">
        <v>45973</v>
      </c>
      <c r="D222" t="s">
        <v>19</v>
      </c>
      <c r="E222" t="s">
        <v>35</v>
      </c>
      <c r="F222" t="s">
        <v>15</v>
      </c>
      <c r="G222" t="s">
        <v>16</v>
      </c>
      <c r="H222" s="4">
        <v>5000</v>
      </c>
      <c r="I222">
        <v>1</v>
      </c>
      <c r="J222">
        <v>0</v>
      </c>
      <c r="K222">
        <v>5000</v>
      </c>
      <c r="L222">
        <v>3210.99</v>
      </c>
      <c r="M222" t="s">
        <v>17</v>
      </c>
    </row>
    <row r="223" spans="1:13" x14ac:dyDescent="0.25">
      <c r="A223" t="s">
        <v>248</v>
      </c>
      <c r="B223">
        <f t="shared" si="3"/>
        <v>1</v>
      </c>
      <c r="C223" s="5">
        <v>45974</v>
      </c>
      <c r="D223" t="s">
        <v>65</v>
      </c>
      <c r="E223" t="s">
        <v>20</v>
      </c>
      <c r="F223" t="s">
        <v>39</v>
      </c>
      <c r="G223" t="s">
        <v>43</v>
      </c>
      <c r="H223" s="4">
        <v>65000</v>
      </c>
      <c r="I223">
        <v>1</v>
      </c>
      <c r="J223">
        <v>0.1</v>
      </c>
      <c r="K223">
        <v>58500</v>
      </c>
      <c r="L223">
        <v>2289.23</v>
      </c>
      <c r="M223" t="s">
        <v>33</v>
      </c>
    </row>
    <row r="224" spans="1:13" x14ac:dyDescent="0.25">
      <c r="A224" t="s">
        <v>390</v>
      </c>
      <c r="B224">
        <f t="shared" si="3"/>
        <v>1</v>
      </c>
      <c r="C224" s="5">
        <v>45974</v>
      </c>
      <c r="D224" t="s">
        <v>31</v>
      </c>
      <c r="E224" t="s">
        <v>32</v>
      </c>
      <c r="F224" t="s">
        <v>15</v>
      </c>
      <c r="G224" t="s">
        <v>22</v>
      </c>
      <c r="H224" s="4">
        <v>35000</v>
      </c>
      <c r="I224">
        <v>1</v>
      </c>
      <c r="J224">
        <v>0.15</v>
      </c>
      <c r="K224">
        <v>29750</v>
      </c>
      <c r="L224">
        <v>664.4</v>
      </c>
      <c r="M224" t="s">
        <v>33</v>
      </c>
    </row>
    <row r="225" spans="1:13" x14ac:dyDescent="0.25">
      <c r="A225" t="s">
        <v>159</v>
      </c>
      <c r="B225">
        <f t="shared" si="3"/>
        <v>1</v>
      </c>
      <c r="C225" s="5">
        <v>45975</v>
      </c>
      <c r="D225" t="s">
        <v>13</v>
      </c>
      <c r="E225" t="s">
        <v>14</v>
      </c>
      <c r="F225" t="s">
        <v>36</v>
      </c>
      <c r="G225" t="s">
        <v>29</v>
      </c>
      <c r="H225" s="4">
        <v>8000</v>
      </c>
      <c r="I225">
        <v>2</v>
      </c>
      <c r="J225">
        <v>0.15</v>
      </c>
      <c r="K225">
        <v>13600</v>
      </c>
      <c r="L225">
        <v>0</v>
      </c>
      <c r="M225" t="s">
        <v>33</v>
      </c>
    </row>
    <row r="226" spans="1:13" x14ac:dyDescent="0.25">
      <c r="A226" t="s">
        <v>265</v>
      </c>
      <c r="B226">
        <f t="shared" si="3"/>
        <v>1</v>
      </c>
      <c r="C226" s="5">
        <v>45976</v>
      </c>
      <c r="D226" t="s">
        <v>13</v>
      </c>
      <c r="E226" t="s">
        <v>20</v>
      </c>
      <c r="F226" t="s">
        <v>49</v>
      </c>
      <c r="G226" t="s">
        <v>22</v>
      </c>
      <c r="H226" s="4">
        <v>35000</v>
      </c>
      <c r="I226">
        <v>2</v>
      </c>
      <c r="J226">
        <v>0.15</v>
      </c>
      <c r="K226">
        <v>59500</v>
      </c>
      <c r="L226">
        <v>3450.58</v>
      </c>
      <c r="M226" t="s">
        <v>17</v>
      </c>
    </row>
    <row r="227" spans="1:13" x14ac:dyDescent="0.25">
      <c r="A227" t="s">
        <v>480</v>
      </c>
      <c r="B227">
        <f t="shared" si="3"/>
        <v>1</v>
      </c>
      <c r="C227" s="5">
        <v>45977</v>
      </c>
      <c r="D227" t="s">
        <v>13</v>
      </c>
      <c r="E227" t="s">
        <v>25</v>
      </c>
      <c r="F227" t="s">
        <v>21</v>
      </c>
      <c r="G227" t="s">
        <v>16</v>
      </c>
      <c r="H227" s="4">
        <v>5000</v>
      </c>
      <c r="I227">
        <v>2</v>
      </c>
      <c r="J227">
        <v>0.1</v>
      </c>
      <c r="K227">
        <v>9000</v>
      </c>
      <c r="L227">
        <v>1905.97</v>
      </c>
      <c r="M227" t="s">
        <v>17</v>
      </c>
    </row>
    <row r="228" spans="1:13" x14ac:dyDescent="0.25">
      <c r="A228" t="s">
        <v>170</v>
      </c>
      <c r="B228">
        <f t="shared" si="3"/>
        <v>1</v>
      </c>
      <c r="C228" s="5">
        <v>45978</v>
      </c>
      <c r="D228" t="s">
        <v>65</v>
      </c>
      <c r="E228" t="s">
        <v>20</v>
      </c>
      <c r="F228" t="s">
        <v>36</v>
      </c>
      <c r="G228" t="s">
        <v>16</v>
      </c>
      <c r="H228" s="4">
        <v>5000</v>
      </c>
      <c r="I228">
        <v>3</v>
      </c>
      <c r="J228">
        <v>0</v>
      </c>
      <c r="K228">
        <v>15000</v>
      </c>
      <c r="L228">
        <v>2496.64</v>
      </c>
      <c r="M228" t="s">
        <v>33</v>
      </c>
    </row>
    <row r="229" spans="1:13" x14ac:dyDescent="0.25">
      <c r="A229" t="s">
        <v>228</v>
      </c>
      <c r="B229">
        <f t="shared" si="3"/>
        <v>1</v>
      </c>
      <c r="C229" s="5">
        <v>45979</v>
      </c>
      <c r="D229" t="s">
        <v>13</v>
      </c>
      <c r="E229" t="s">
        <v>38</v>
      </c>
      <c r="F229" t="s">
        <v>21</v>
      </c>
      <c r="G229" t="s">
        <v>29</v>
      </c>
      <c r="H229" s="4">
        <v>8000</v>
      </c>
      <c r="I229">
        <v>2</v>
      </c>
      <c r="J229">
        <v>0</v>
      </c>
      <c r="K229">
        <v>16000</v>
      </c>
      <c r="L229">
        <v>0</v>
      </c>
      <c r="M229" t="s">
        <v>33</v>
      </c>
    </row>
    <row r="230" spans="1:13" x14ac:dyDescent="0.25">
      <c r="A230" t="s">
        <v>107</v>
      </c>
      <c r="B230">
        <f t="shared" si="3"/>
        <v>1</v>
      </c>
      <c r="C230" s="5">
        <v>45980</v>
      </c>
      <c r="D230" t="s">
        <v>13</v>
      </c>
      <c r="E230" t="s">
        <v>25</v>
      </c>
      <c r="F230" t="s">
        <v>36</v>
      </c>
      <c r="G230" t="s">
        <v>41</v>
      </c>
      <c r="H230" s="4">
        <v>15000</v>
      </c>
      <c r="I230">
        <v>2</v>
      </c>
      <c r="J230">
        <v>0.15</v>
      </c>
      <c r="K230">
        <v>25500</v>
      </c>
      <c r="L230">
        <v>442.56</v>
      </c>
      <c r="M230" t="s">
        <v>33</v>
      </c>
    </row>
    <row r="231" spans="1:13" x14ac:dyDescent="0.25">
      <c r="A231" t="s">
        <v>222</v>
      </c>
      <c r="B231">
        <f t="shared" si="3"/>
        <v>1</v>
      </c>
      <c r="C231" s="5">
        <v>45980</v>
      </c>
      <c r="D231" t="s">
        <v>24</v>
      </c>
      <c r="E231" t="s">
        <v>38</v>
      </c>
      <c r="F231" t="s">
        <v>39</v>
      </c>
      <c r="G231" t="s">
        <v>29</v>
      </c>
      <c r="H231" s="4">
        <v>8000</v>
      </c>
      <c r="I231">
        <v>1</v>
      </c>
      <c r="J231">
        <v>0.15</v>
      </c>
      <c r="K231">
        <v>6800</v>
      </c>
      <c r="L231">
        <v>0</v>
      </c>
      <c r="M231" t="s">
        <v>33</v>
      </c>
    </row>
    <row r="232" spans="1:13" x14ac:dyDescent="0.25">
      <c r="A232" t="s">
        <v>324</v>
      </c>
      <c r="B232">
        <f t="shared" si="3"/>
        <v>1</v>
      </c>
      <c r="C232" s="5">
        <v>45981</v>
      </c>
      <c r="D232" t="s">
        <v>13</v>
      </c>
      <c r="E232" t="s">
        <v>25</v>
      </c>
      <c r="F232" t="s">
        <v>39</v>
      </c>
      <c r="G232" t="s">
        <v>16</v>
      </c>
      <c r="H232" s="4">
        <v>5000</v>
      </c>
      <c r="I232">
        <v>1</v>
      </c>
      <c r="J232">
        <v>0.15</v>
      </c>
      <c r="K232">
        <v>4250</v>
      </c>
      <c r="L232">
        <v>2522.42</v>
      </c>
      <c r="M232" t="s">
        <v>17</v>
      </c>
    </row>
    <row r="233" spans="1:13" x14ac:dyDescent="0.25">
      <c r="A233" t="s">
        <v>445</v>
      </c>
      <c r="B233">
        <f t="shared" si="3"/>
        <v>1</v>
      </c>
      <c r="C233" s="5">
        <v>45981</v>
      </c>
      <c r="D233" t="s">
        <v>13</v>
      </c>
      <c r="E233" t="s">
        <v>38</v>
      </c>
      <c r="F233" t="s">
        <v>26</v>
      </c>
      <c r="G233" t="s">
        <v>29</v>
      </c>
      <c r="H233" s="4">
        <v>8000</v>
      </c>
      <c r="I233">
        <v>1</v>
      </c>
      <c r="J233">
        <v>0</v>
      </c>
      <c r="K233">
        <v>8000</v>
      </c>
      <c r="L233">
        <v>0</v>
      </c>
      <c r="M233" t="s">
        <v>33</v>
      </c>
    </row>
    <row r="234" spans="1:13" x14ac:dyDescent="0.25">
      <c r="A234" t="s">
        <v>64</v>
      </c>
      <c r="B234">
        <f t="shared" si="3"/>
        <v>1</v>
      </c>
      <c r="C234" s="5">
        <v>45982</v>
      </c>
      <c r="D234" t="s">
        <v>65</v>
      </c>
      <c r="E234" t="s">
        <v>66</v>
      </c>
      <c r="F234" t="s">
        <v>26</v>
      </c>
      <c r="G234" t="s">
        <v>43</v>
      </c>
      <c r="H234" s="4">
        <v>65000</v>
      </c>
      <c r="I234">
        <v>1</v>
      </c>
      <c r="J234">
        <v>0.1</v>
      </c>
      <c r="K234">
        <v>58500</v>
      </c>
      <c r="L234">
        <v>0</v>
      </c>
      <c r="M234" t="s">
        <v>33</v>
      </c>
    </row>
    <row r="235" spans="1:13" x14ac:dyDescent="0.25">
      <c r="A235" t="s">
        <v>465</v>
      </c>
      <c r="B235">
        <f t="shared" si="3"/>
        <v>1</v>
      </c>
      <c r="C235" s="5">
        <v>45983</v>
      </c>
      <c r="D235" t="s">
        <v>13</v>
      </c>
      <c r="E235" t="s">
        <v>35</v>
      </c>
      <c r="F235" t="s">
        <v>49</v>
      </c>
      <c r="G235" t="s">
        <v>29</v>
      </c>
      <c r="H235" s="4">
        <v>8000</v>
      </c>
      <c r="I235">
        <v>2</v>
      </c>
      <c r="J235">
        <v>0</v>
      </c>
      <c r="K235">
        <v>16000</v>
      </c>
      <c r="L235">
        <v>1292.3499999999999</v>
      </c>
      <c r="M235" t="s">
        <v>17</v>
      </c>
    </row>
    <row r="236" spans="1:13" x14ac:dyDescent="0.25">
      <c r="A236" t="s">
        <v>305</v>
      </c>
      <c r="B236">
        <f t="shared" si="3"/>
        <v>1</v>
      </c>
      <c r="C236" s="5">
        <v>45984</v>
      </c>
      <c r="D236" t="s">
        <v>31</v>
      </c>
      <c r="E236" t="s">
        <v>32</v>
      </c>
      <c r="F236" t="s">
        <v>36</v>
      </c>
      <c r="G236" t="s">
        <v>22</v>
      </c>
      <c r="H236" s="4">
        <v>35000</v>
      </c>
      <c r="I236">
        <v>1</v>
      </c>
      <c r="J236">
        <v>0</v>
      </c>
      <c r="K236">
        <v>35000</v>
      </c>
      <c r="L236">
        <v>3320.49</v>
      </c>
      <c r="M236" t="s">
        <v>33</v>
      </c>
    </row>
    <row r="237" spans="1:13" x14ac:dyDescent="0.25">
      <c r="A237" t="s">
        <v>145</v>
      </c>
      <c r="B237">
        <f t="shared" si="3"/>
        <v>1</v>
      </c>
      <c r="C237" s="5">
        <v>45986</v>
      </c>
      <c r="D237" t="s">
        <v>13</v>
      </c>
      <c r="E237" t="s">
        <v>20</v>
      </c>
      <c r="F237" t="s">
        <v>47</v>
      </c>
      <c r="G237" t="s">
        <v>43</v>
      </c>
      <c r="H237" s="4">
        <v>65000</v>
      </c>
      <c r="I237">
        <v>3</v>
      </c>
      <c r="J237">
        <v>0.1</v>
      </c>
      <c r="K237">
        <v>175500</v>
      </c>
      <c r="L237">
        <v>2615.62</v>
      </c>
      <c r="M237" t="s">
        <v>17</v>
      </c>
    </row>
    <row r="238" spans="1:13" x14ac:dyDescent="0.25">
      <c r="A238" t="s">
        <v>270</v>
      </c>
      <c r="B238">
        <f t="shared" si="3"/>
        <v>1</v>
      </c>
      <c r="C238" s="5">
        <v>45987</v>
      </c>
      <c r="D238" t="s">
        <v>24</v>
      </c>
      <c r="E238" t="s">
        <v>14</v>
      </c>
      <c r="F238" t="s">
        <v>15</v>
      </c>
      <c r="G238" t="s">
        <v>29</v>
      </c>
      <c r="H238" s="4">
        <v>8000</v>
      </c>
      <c r="I238">
        <v>1</v>
      </c>
      <c r="J238">
        <v>0</v>
      </c>
      <c r="K238">
        <v>8000</v>
      </c>
      <c r="L238">
        <v>0</v>
      </c>
      <c r="M238" t="s">
        <v>33</v>
      </c>
    </row>
    <row r="239" spans="1:13" x14ac:dyDescent="0.25">
      <c r="A239" t="s">
        <v>329</v>
      </c>
      <c r="B239">
        <f t="shared" si="3"/>
        <v>1</v>
      </c>
      <c r="C239" s="5">
        <v>45987</v>
      </c>
      <c r="D239" t="s">
        <v>19</v>
      </c>
      <c r="E239" t="s">
        <v>38</v>
      </c>
      <c r="F239" t="s">
        <v>21</v>
      </c>
      <c r="G239" t="s">
        <v>43</v>
      </c>
      <c r="H239" s="4">
        <v>65000</v>
      </c>
      <c r="I239">
        <v>1</v>
      </c>
      <c r="J239">
        <v>0</v>
      </c>
      <c r="K239">
        <v>65000</v>
      </c>
      <c r="L239">
        <v>0</v>
      </c>
      <c r="M239" t="s">
        <v>33</v>
      </c>
    </row>
    <row r="240" spans="1:13" x14ac:dyDescent="0.25">
      <c r="A240" t="s">
        <v>374</v>
      </c>
      <c r="B240">
        <f t="shared" si="3"/>
        <v>1</v>
      </c>
      <c r="C240" s="5">
        <v>45988</v>
      </c>
      <c r="D240" t="s">
        <v>13</v>
      </c>
      <c r="E240" t="s">
        <v>35</v>
      </c>
      <c r="F240" t="s">
        <v>26</v>
      </c>
      <c r="G240" t="s">
        <v>16</v>
      </c>
      <c r="H240" s="4">
        <v>5000</v>
      </c>
      <c r="I240">
        <v>1</v>
      </c>
      <c r="J240">
        <v>0</v>
      </c>
      <c r="K240">
        <v>5000</v>
      </c>
      <c r="L240">
        <v>1374.38</v>
      </c>
      <c r="M240" t="s">
        <v>17</v>
      </c>
    </row>
    <row r="241" spans="1:13" x14ac:dyDescent="0.25">
      <c r="A241" t="s">
        <v>404</v>
      </c>
      <c r="B241">
        <f t="shared" si="3"/>
        <v>1</v>
      </c>
      <c r="C241" s="5">
        <v>45990</v>
      </c>
      <c r="D241" t="s">
        <v>13</v>
      </c>
      <c r="E241" t="s">
        <v>35</v>
      </c>
      <c r="F241" t="s">
        <v>49</v>
      </c>
      <c r="G241" t="s">
        <v>41</v>
      </c>
      <c r="H241" s="4">
        <v>15000</v>
      </c>
      <c r="I241">
        <v>3</v>
      </c>
      <c r="J241">
        <v>0.2</v>
      </c>
      <c r="K241">
        <v>36000</v>
      </c>
      <c r="L241">
        <v>2207.11</v>
      </c>
      <c r="M241" t="s">
        <v>33</v>
      </c>
    </row>
    <row r="242" spans="1:13" x14ac:dyDescent="0.25">
      <c r="A242" t="s">
        <v>414</v>
      </c>
      <c r="B242">
        <f t="shared" si="3"/>
        <v>1</v>
      </c>
      <c r="C242" s="5">
        <v>45990</v>
      </c>
      <c r="D242" t="s">
        <v>19</v>
      </c>
      <c r="E242" t="s">
        <v>38</v>
      </c>
      <c r="F242" t="s">
        <v>15</v>
      </c>
      <c r="G242" t="s">
        <v>29</v>
      </c>
      <c r="H242" s="4">
        <v>8000</v>
      </c>
      <c r="I242">
        <v>1</v>
      </c>
      <c r="J242">
        <v>0.1</v>
      </c>
      <c r="K242">
        <v>7200</v>
      </c>
      <c r="L242">
        <v>0</v>
      </c>
      <c r="M242" t="s">
        <v>33</v>
      </c>
    </row>
    <row r="243" spans="1:13" x14ac:dyDescent="0.25">
      <c r="A243" t="s">
        <v>177</v>
      </c>
      <c r="B243">
        <f t="shared" si="3"/>
        <v>1</v>
      </c>
      <c r="C243" s="5">
        <v>45992</v>
      </c>
      <c r="D243" t="s">
        <v>19</v>
      </c>
      <c r="E243" t="s">
        <v>28</v>
      </c>
      <c r="F243" t="s">
        <v>15</v>
      </c>
      <c r="G243" t="s">
        <v>41</v>
      </c>
      <c r="H243" s="4">
        <v>15000</v>
      </c>
      <c r="I243">
        <v>3</v>
      </c>
      <c r="J243">
        <v>0.2</v>
      </c>
      <c r="K243">
        <v>36000</v>
      </c>
      <c r="L243">
        <v>0</v>
      </c>
      <c r="M243" t="s">
        <v>33</v>
      </c>
    </row>
    <row r="244" spans="1:13" x14ac:dyDescent="0.25">
      <c r="A244" t="s">
        <v>331</v>
      </c>
      <c r="B244">
        <f t="shared" si="3"/>
        <v>1</v>
      </c>
      <c r="C244" s="5">
        <v>45994</v>
      </c>
      <c r="D244" t="s">
        <v>24</v>
      </c>
      <c r="E244" t="s">
        <v>14</v>
      </c>
      <c r="F244" t="s">
        <v>39</v>
      </c>
      <c r="G244" t="s">
        <v>16</v>
      </c>
      <c r="H244" s="4">
        <v>5000</v>
      </c>
      <c r="I244">
        <v>3</v>
      </c>
      <c r="J244">
        <v>0</v>
      </c>
      <c r="K244">
        <v>15000</v>
      </c>
      <c r="L244">
        <v>0</v>
      </c>
      <c r="M244" t="s">
        <v>33</v>
      </c>
    </row>
    <row r="245" spans="1:13" x14ac:dyDescent="0.25">
      <c r="A245" t="s">
        <v>410</v>
      </c>
      <c r="B245">
        <f t="shared" si="3"/>
        <v>1</v>
      </c>
      <c r="C245" s="5">
        <v>45996</v>
      </c>
      <c r="D245" t="s">
        <v>31</v>
      </c>
      <c r="E245" t="s">
        <v>32</v>
      </c>
      <c r="F245" t="s">
        <v>15</v>
      </c>
      <c r="G245" t="s">
        <v>29</v>
      </c>
      <c r="H245" s="4">
        <v>8000</v>
      </c>
      <c r="I245">
        <v>2</v>
      </c>
      <c r="J245">
        <v>0.05</v>
      </c>
      <c r="K245">
        <v>15200</v>
      </c>
      <c r="L245">
        <v>2966.62</v>
      </c>
      <c r="M245" t="s">
        <v>17</v>
      </c>
    </row>
    <row r="246" spans="1:13" x14ac:dyDescent="0.25">
      <c r="A246" t="s">
        <v>103</v>
      </c>
      <c r="B246">
        <f t="shared" si="3"/>
        <v>1</v>
      </c>
      <c r="C246" s="5">
        <v>46001</v>
      </c>
      <c r="D246" t="s">
        <v>31</v>
      </c>
      <c r="E246" t="s">
        <v>35</v>
      </c>
      <c r="F246" t="s">
        <v>26</v>
      </c>
      <c r="G246" t="s">
        <v>16</v>
      </c>
      <c r="H246" s="4">
        <v>5000</v>
      </c>
      <c r="I246">
        <v>3</v>
      </c>
      <c r="J246">
        <v>0</v>
      </c>
      <c r="K246">
        <v>15000</v>
      </c>
      <c r="L246">
        <v>779.82</v>
      </c>
      <c r="M246" t="s">
        <v>33</v>
      </c>
    </row>
    <row r="247" spans="1:13" x14ac:dyDescent="0.25">
      <c r="A247" t="s">
        <v>203</v>
      </c>
      <c r="B247">
        <f t="shared" si="3"/>
        <v>1</v>
      </c>
      <c r="C247" s="5">
        <v>46002</v>
      </c>
      <c r="D247" t="s">
        <v>13</v>
      </c>
      <c r="E247" t="s">
        <v>14</v>
      </c>
      <c r="F247" t="s">
        <v>26</v>
      </c>
      <c r="G247" t="s">
        <v>43</v>
      </c>
      <c r="H247" s="4">
        <v>65000</v>
      </c>
      <c r="I247">
        <v>1</v>
      </c>
      <c r="J247">
        <v>0</v>
      </c>
      <c r="K247">
        <v>65000</v>
      </c>
      <c r="L247">
        <v>0</v>
      </c>
      <c r="M247" t="s">
        <v>17</v>
      </c>
    </row>
    <row r="248" spans="1:13" x14ac:dyDescent="0.25">
      <c r="A248" t="s">
        <v>426</v>
      </c>
      <c r="B248">
        <f t="shared" si="3"/>
        <v>1</v>
      </c>
      <c r="C248" s="5">
        <v>46008</v>
      </c>
      <c r="D248" t="s">
        <v>19</v>
      </c>
      <c r="E248" t="s">
        <v>35</v>
      </c>
      <c r="F248" t="s">
        <v>49</v>
      </c>
      <c r="G248" t="s">
        <v>22</v>
      </c>
      <c r="H248" s="4">
        <v>35000</v>
      </c>
      <c r="I248">
        <v>2</v>
      </c>
      <c r="J248">
        <v>0.1</v>
      </c>
      <c r="K248">
        <v>63000</v>
      </c>
      <c r="L248">
        <v>2514.5300000000002</v>
      </c>
      <c r="M248" t="s">
        <v>17</v>
      </c>
    </row>
    <row r="249" spans="1:13" x14ac:dyDescent="0.25">
      <c r="A249" t="s">
        <v>162</v>
      </c>
      <c r="B249">
        <f t="shared" si="3"/>
        <v>1</v>
      </c>
      <c r="C249" s="5">
        <v>46009</v>
      </c>
      <c r="D249" t="s">
        <v>65</v>
      </c>
      <c r="E249" t="s">
        <v>28</v>
      </c>
      <c r="F249" t="s">
        <v>15</v>
      </c>
      <c r="G249" t="s">
        <v>22</v>
      </c>
      <c r="H249" s="4">
        <v>35000</v>
      </c>
      <c r="I249">
        <v>1</v>
      </c>
      <c r="J249">
        <v>0.2</v>
      </c>
      <c r="K249">
        <v>28000</v>
      </c>
      <c r="L249">
        <v>0</v>
      </c>
      <c r="M249" t="s">
        <v>33</v>
      </c>
    </row>
    <row r="250" spans="1:13" x14ac:dyDescent="0.25">
      <c r="A250" t="s">
        <v>250</v>
      </c>
      <c r="B250">
        <f t="shared" si="3"/>
        <v>1</v>
      </c>
      <c r="C250" s="5">
        <v>46010</v>
      </c>
      <c r="D250" t="s">
        <v>19</v>
      </c>
      <c r="E250" t="s">
        <v>38</v>
      </c>
      <c r="F250" t="s">
        <v>49</v>
      </c>
      <c r="G250" t="s">
        <v>41</v>
      </c>
      <c r="H250" s="4">
        <v>15000</v>
      </c>
      <c r="I250">
        <v>1</v>
      </c>
      <c r="J250">
        <v>0</v>
      </c>
      <c r="K250">
        <v>15000</v>
      </c>
      <c r="L250">
        <v>0</v>
      </c>
      <c r="M250" t="s">
        <v>33</v>
      </c>
    </row>
    <row r="251" spans="1:13" x14ac:dyDescent="0.25">
      <c r="A251" t="s">
        <v>208</v>
      </c>
      <c r="B251">
        <f t="shared" si="3"/>
        <v>1</v>
      </c>
      <c r="C251" s="5">
        <v>46013</v>
      </c>
      <c r="D251" t="s">
        <v>31</v>
      </c>
      <c r="E251" t="s">
        <v>14</v>
      </c>
      <c r="F251" t="s">
        <v>36</v>
      </c>
      <c r="G251" t="s">
        <v>22</v>
      </c>
      <c r="H251" s="4">
        <v>35000</v>
      </c>
      <c r="I251">
        <v>1</v>
      </c>
      <c r="J251">
        <v>0</v>
      </c>
      <c r="K251">
        <v>35000</v>
      </c>
      <c r="L251">
        <v>0</v>
      </c>
      <c r="M251" t="s">
        <v>33</v>
      </c>
    </row>
    <row r="252" spans="1:13" x14ac:dyDescent="0.25">
      <c r="A252" t="s">
        <v>438</v>
      </c>
      <c r="B252">
        <f t="shared" si="3"/>
        <v>1</v>
      </c>
      <c r="C252" s="5">
        <v>46013</v>
      </c>
      <c r="D252" t="s">
        <v>24</v>
      </c>
      <c r="E252" t="s">
        <v>35</v>
      </c>
      <c r="F252" t="s">
        <v>26</v>
      </c>
      <c r="G252" t="s">
        <v>41</v>
      </c>
      <c r="H252" s="4">
        <v>15000</v>
      </c>
      <c r="I252">
        <v>1</v>
      </c>
      <c r="J252">
        <v>0</v>
      </c>
      <c r="K252">
        <v>15000</v>
      </c>
      <c r="L252">
        <v>2132.6</v>
      </c>
      <c r="M252" t="s">
        <v>17</v>
      </c>
    </row>
    <row r="253" spans="1:13" x14ac:dyDescent="0.25">
      <c r="A253" t="s">
        <v>470</v>
      </c>
      <c r="B253">
        <f t="shared" si="3"/>
        <v>1</v>
      </c>
      <c r="C253" s="5">
        <v>46013</v>
      </c>
      <c r="D253" t="s">
        <v>19</v>
      </c>
      <c r="E253" t="s">
        <v>35</v>
      </c>
      <c r="F253" t="s">
        <v>39</v>
      </c>
      <c r="G253" t="s">
        <v>43</v>
      </c>
      <c r="H253" s="4">
        <v>65000</v>
      </c>
      <c r="I253">
        <v>2</v>
      </c>
      <c r="J253">
        <v>0</v>
      </c>
      <c r="K253">
        <v>130000</v>
      </c>
      <c r="L253">
        <v>919.88</v>
      </c>
      <c r="M253" t="s">
        <v>33</v>
      </c>
    </row>
    <row r="254" spans="1:13" x14ac:dyDescent="0.25">
      <c r="A254" t="s">
        <v>58</v>
      </c>
      <c r="B254">
        <f t="shared" si="3"/>
        <v>1</v>
      </c>
      <c r="C254" s="5">
        <v>46014</v>
      </c>
      <c r="D254" t="s">
        <v>24</v>
      </c>
      <c r="E254" t="s">
        <v>32</v>
      </c>
      <c r="F254" t="s">
        <v>36</v>
      </c>
      <c r="G254" t="s">
        <v>43</v>
      </c>
      <c r="H254" s="4">
        <v>65000</v>
      </c>
      <c r="I254">
        <v>1</v>
      </c>
      <c r="J254">
        <v>0.05</v>
      </c>
      <c r="K254">
        <v>61750</v>
      </c>
      <c r="L254">
        <v>395.08</v>
      </c>
      <c r="M254" t="s">
        <v>33</v>
      </c>
    </row>
    <row r="255" spans="1:13" x14ac:dyDescent="0.25">
      <c r="A255" t="s">
        <v>94</v>
      </c>
      <c r="B255">
        <f t="shared" si="3"/>
        <v>1</v>
      </c>
      <c r="C255" s="5">
        <v>46016</v>
      </c>
      <c r="D255" t="s">
        <v>13</v>
      </c>
      <c r="E255" t="s">
        <v>35</v>
      </c>
      <c r="F255" t="s">
        <v>26</v>
      </c>
      <c r="G255" t="s">
        <v>29</v>
      </c>
      <c r="H255" s="4">
        <v>8000</v>
      </c>
      <c r="I255">
        <v>2</v>
      </c>
      <c r="J255">
        <v>0.15</v>
      </c>
      <c r="K255">
        <v>13600</v>
      </c>
      <c r="L255">
        <v>1694.21</v>
      </c>
      <c r="M255" t="s">
        <v>17</v>
      </c>
    </row>
    <row r="256" spans="1:13" x14ac:dyDescent="0.25">
      <c r="A256" t="s">
        <v>124</v>
      </c>
      <c r="B256">
        <f t="shared" si="3"/>
        <v>1</v>
      </c>
      <c r="C256" s="5">
        <v>46016</v>
      </c>
      <c r="D256" t="s">
        <v>31</v>
      </c>
      <c r="E256" t="s">
        <v>35</v>
      </c>
      <c r="F256" t="s">
        <v>15</v>
      </c>
      <c r="G256" t="s">
        <v>43</v>
      </c>
      <c r="H256" s="4">
        <v>65000</v>
      </c>
      <c r="I256">
        <v>3</v>
      </c>
      <c r="J256">
        <v>0</v>
      </c>
      <c r="K256">
        <v>195000</v>
      </c>
      <c r="L256">
        <v>1810.54</v>
      </c>
      <c r="M256" t="s">
        <v>33</v>
      </c>
    </row>
    <row r="257" spans="1:13" x14ac:dyDescent="0.25">
      <c r="A257" t="s">
        <v>396</v>
      </c>
      <c r="B257">
        <f t="shared" si="3"/>
        <v>1</v>
      </c>
      <c r="C257" s="5">
        <v>46019</v>
      </c>
      <c r="D257" t="s">
        <v>31</v>
      </c>
      <c r="E257" t="s">
        <v>32</v>
      </c>
      <c r="F257" t="s">
        <v>26</v>
      </c>
      <c r="G257" t="s">
        <v>29</v>
      </c>
      <c r="H257" s="4">
        <v>8000</v>
      </c>
      <c r="I257">
        <v>2</v>
      </c>
      <c r="J257">
        <v>0.2</v>
      </c>
      <c r="K257">
        <v>12800</v>
      </c>
      <c r="L257">
        <v>406.74</v>
      </c>
      <c r="M257" t="s">
        <v>17</v>
      </c>
    </row>
    <row r="258" spans="1:13" x14ac:dyDescent="0.25">
      <c r="A258" t="s">
        <v>402</v>
      </c>
      <c r="B258">
        <f t="shared" ref="B258:B321" si="4">COUNTIF($A:$A,A258)</f>
        <v>1</v>
      </c>
      <c r="C258" s="5">
        <v>46019</v>
      </c>
      <c r="D258" t="s">
        <v>13</v>
      </c>
      <c r="E258" t="s">
        <v>20</v>
      </c>
      <c r="F258" t="s">
        <v>39</v>
      </c>
      <c r="G258" t="s">
        <v>41</v>
      </c>
      <c r="H258" s="4">
        <v>15000</v>
      </c>
      <c r="I258">
        <v>1</v>
      </c>
      <c r="J258">
        <v>0.05</v>
      </c>
      <c r="K258">
        <v>14250</v>
      </c>
      <c r="L258">
        <v>961.77</v>
      </c>
      <c r="M258" t="s">
        <v>17</v>
      </c>
    </row>
    <row r="259" spans="1:13" x14ac:dyDescent="0.25">
      <c r="A259" t="s">
        <v>346</v>
      </c>
      <c r="B259">
        <f t="shared" si="4"/>
        <v>1</v>
      </c>
      <c r="C259" s="5">
        <v>46023</v>
      </c>
      <c r="D259" t="s">
        <v>19</v>
      </c>
      <c r="E259" t="s">
        <v>20</v>
      </c>
      <c r="F259" t="s">
        <v>36</v>
      </c>
      <c r="G259" t="s">
        <v>43</v>
      </c>
      <c r="H259" s="4">
        <v>65000</v>
      </c>
      <c r="I259">
        <v>2</v>
      </c>
      <c r="J259">
        <v>0.15</v>
      </c>
      <c r="K259">
        <v>110500</v>
      </c>
      <c r="L259">
        <v>2972.27</v>
      </c>
      <c r="M259" t="s">
        <v>33</v>
      </c>
    </row>
    <row r="260" spans="1:13" x14ac:dyDescent="0.25">
      <c r="A260" t="s">
        <v>134</v>
      </c>
      <c r="B260">
        <f t="shared" si="4"/>
        <v>1</v>
      </c>
      <c r="C260" s="5">
        <v>46025</v>
      </c>
      <c r="D260" t="s">
        <v>13</v>
      </c>
      <c r="E260" t="s">
        <v>20</v>
      </c>
      <c r="F260" t="s">
        <v>26</v>
      </c>
      <c r="G260" t="s">
        <v>43</v>
      </c>
      <c r="H260" s="4">
        <v>65000</v>
      </c>
      <c r="I260">
        <v>2</v>
      </c>
      <c r="J260">
        <v>0</v>
      </c>
      <c r="K260">
        <v>130000</v>
      </c>
      <c r="L260">
        <v>1226.82</v>
      </c>
      <c r="M260" t="s">
        <v>17</v>
      </c>
    </row>
    <row r="261" spans="1:13" x14ac:dyDescent="0.25">
      <c r="A261" t="s">
        <v>431</v>
      </c>
      <c r="B261">
        <f t="shared" si="4"/>
        <v>1</v>
      </c>
      <c r="C261" s="5">
        <v>46026</v>
      </c>
      <c r="D261" t="s">
        <v>24</v>
      </c>
      <c r="E261" t="s">
        <v>20</v>
      </c>
      <c r="F261" t="s">
        <v>47</v>
      </c>
      <c r="G261" t="s">
        <v>16</v>
      </c>
      <c r="H261" s="4">
        <v>5000</v>
      </c>
      <c r="I261">
        <v>1</v>
      </c>
      <c r="J261">
        <v>0.1</v>
      </c>
      <c r="K261">
        <v>4500</v>
      </c>
      <c r="L261">
        <v>1868.58</v>
      </c>
      <c r="M261" t="s">
        <v>33</v>
      </c>
    </row>
    <row r="262" spans="1:13" x14ac:dyDescent="0.25">
      <c r="A262" t="s">
        <v>301</v>
      </c>
      <c r="B262">
        <f t="shared" si="4"/>
        <v>1</v>
      </c>
      <c r="C262" s="5">
        <v>46029</v>
      </c>
      <c r="D262" t="s">
        <v>13</v>
      </c>
      <c r="E262" t="s">
        <v>20</v>
      </c>
      <c r="F262" t="s">
        <v>15</v>
      </c>
      <c r="G262" t="s">
        <v>22</v>
      </c>
      <c r="H262" s="4">
        <v>35000</v>
      </c>
      <c r="I262">
        <v>2</v>
      </c>
      <c r="J262">
        <v>0.1</v>
      </c>
      <c r="K262">
        <v>63000</v>
      </c>
      <c r="L262">
        <v>1699.36</v>
      </c>
      <c r="M262" t="s">
        <v>33</v>
      </c>
    </row>
    <row r="263" spans="1:13" x14ac:dyDescent="0.25">
      <c r="A263" t="s">
        <v>257</v>
      </c>
      <c r="B263">
        <f t="shared" si="4"/>
        <v>1</v>
      </c>
      <c r="C263" s="5">
        <v>46030</v>
      </c>
      <c r="D263" t="s">
        <v>24</v>
      </c>
      <c r="E263" t="s">
        <v>20</v>
      </c>
      <c r="F263" t="s">
        <v>36</v>
      </c>
      <c r="G263" t="s">
        <v>43</v>
      </c>
      <c r="H263" s="4">
        <v>65000</v>
      </c>
      <c r="I263">
        <v>1</v>
      </c>
      <c r="J263">
        <v>0.15</v>
      </c>
      <c r="K263">
        <v>55250</v>
      </c>
      <c r="L263">
        <v>3466.63</v>
      </c>
      <c r="M263" t="s">
        <v>17</v>
      </c>
    </row>
    <row r="264" spans="1:13" x14ac:dyDescent="0.25">
      <c r="A264" t="s">
        <v>335</v>
      </c>
      <c r="B264">
        <f t="shared" si="4"/>
        <v>1</v>
      </c>
      <c r="C264" s="5">
        <v>46030</v>
      </c>
      <c r="D264" t="s">
        <v>13</v>
      </c>
      <c r="E264" t="s">
        <v>14</v>
      </c>
      <c r="F264" t="s">
        <v>21</v>
      </c>
      <c r="G264" t="s">
        <v>16</v>
      </c>
      <c r="H264" s="4">
        <v>5000</v>
      </c>
      <c r="I264">
        <v>3</v>
      </c>
      <c r="J264">
        <v>0</v>
      </c>
      <c r="K264">
        <v>15000</v>
      </c>
      <c r="L264">
        <v>0</v>
      </c>
      <c r="M264" t="s">
        <v>17</v>
      </c>
    </row>
    <row r="265" spans="1:13" x14ac:dyDescent="0.25">
      <c r="A265" t="s">
        <v>61</v>
      </c>
      <c r="B265">
        <f t="shared" si="4"/>
        <v>1</v>
      </c>
      <c r="C265" s="5">
        <v>46031</v>
      </c>
      <c r="D265" t="s">
        <v>13</v>
      </c>
      <c r="E265" t="s">
        <v>14</v>
      </c>
      <c r="F265" t="s">
        <v>26</v>
      </c>
      <c r="G265" t="s">
        <v>43</v>
      </c>
      <c r="H265" s="4">
        <v>65000</v>
      </c>
      <c r="I265">
        <v>1</v>
      </c>
      <c r="J265">
        <v>0.15</v>
      </c>
      <c r="K265">
        <v>55250</v>
      </c>
      <c r="L265">
        <v>0</v>
      </c>
      <c r="M265" t="s">
        <v>17</v>
      </c>
    </row>
    <row r="266" spans="1:13" x14ac:dyDescent="0.25">
      <c r="A266" t="s">
        <v>453</v>
      </c>
      <c r="B266">
        <f t="shared" si="4"/>
        <v>1</v>
      </c>
      <c r="C266" s="5">
        <v>46031</v>
      </c>
      <c r="D266" t="s">
        <v>31</v>
      </c>
      <c r="E266" t="s">
        <v>66</v>
      </c>
      <c r="F266" t="s">
        <v>15</v>
      </c>
      <c r="G266" t="s">
        <v>43</v>
      </c>
      <c r="H266" s="4">
        <v>65000</v>
      </c>
      <c r="I266">
        <v>1</v>
      </c>
      <c r="J266">
        <v>0</v>
      </c>
      <c r="K266">
        <v>65000</v>
      </c>
      <c r="L266">
        <v>0</v>
      </c>
      <c r="M266" t="s">
        <v>33</v>
      </c>
    </row>
    <row r="267" spans="1:13" x14ac:dyDescent="0.25">
      <c r="A267" t="s">
        <v>99</v>
      </c>
      <c r="B267">
        <f t="shared" si="4"/>
        <v>1</v>
      </c>
      <c r="C267" s="5">
        <v>46033</v>
      </c>
      <c r="D267" t="s">
        <v>31</v>
      </c>
      <c r="E267" t="s">
        <v>20</v>
      </c>
      <c r="F267" t="s">
        <v>36</v>
      </c>
      <c r="G267" t="s">
        <v>22</v>
      </c>
      <c r="H267" s="4">
        <v>35000</v>
      </c>
      <c r="I267">
        <v>3</v>
      </c>
      <c r="J267">
        <v>0</v>
      </c>
      <c r="K267">
        <v>105000</v>
      </c>
      <c r="L267">
        <v>1272.45</v>
      </c>
      <c r="M267" t="s">
        <v>33</v>
      </c>
    </row>
    <row r="268" spans="1:13" x14ac:dyDescent="0.25">
      <c r="A268" t="s">
        <v>59</v>
      </c>
      <c r="B268">
        <f t="shared" si="4"/>
        <v>1</v>
      </c>
      <c r="C268" s="5">
        <v>46035</v>
      </c>
      <c r="D268" t="s">
        <v>13</v>
      </c>
      <c r="E268" t="s">
        <v>14</v>
      </c>
      <c r="F268" t="s">
        <v>15</v>
      </c>
      <c r="G268" t="s">
        <v>22</v>
      </c>
      <c r="H268" s="4">
        <v>35000</v>
      </c>
      <c r="I268">
        <v>1</v>
      </c>
      <c r="J268">
        <v>0.2</v>
      </c>
      <c r="K268">
        <v>28000</v>
      </c>
      <c r="L268">
        <v>0</v>
      </c>
      <c r="M268" t="s">
        <v>17</v>
      </c>
    </row>
    <row r="269" spans="1:13" x14ac:dyDescent="0.25">
      <c r="A269" t="s">
        <v>457</v>
      </c>
      <c r="B269">
        <f t="shared" si="4"/>
        <v>1</v>
      </c>
      <c r="C269" s="5">
        <v>46035</v>
      </c>
      <c r="D269" t="s">
        <v>19</v>
      </c>
      <c r="E269" t="s">
        <v>28</v>
      </c>
      <c r="F269" t="s">
        <v>21</v>
      </c>
      <c r="G269" t="s">
        <v>29</v>
      </c>
      <c r="H269" s="4">
        <v>8000</v>
      </c>
      <c r="I269">
        <v>1</v>
      </c>
      <c r="J269">
        <v>0</v>
      </c>
      <c r="K269">
        <v>8000</v>
      </c>
      <c r="L269">
        <v>0</v>
      </c>
      <c r="M269" t="s">
        <v>33</v>
      </c>
    </row>
    <row r="270" spans="1:13" x14ac:dyDescent="0.25">
      <c r="A270" t="s">
        <v>321</v>
      </c>
      <c r="B270">
        <f t="shared" si="4"/>
        <v>1</v>
      </c>
      <c r="C270" s="5">
        <v>46036</v>
      </c>
      <c r="D270" t="s">
        <v>19</v>
      </c>
      <c r="E270" t="s">
        <v>32</v>
      </c>
      <c r="F270" t="s">
        <v>15</v>
      </c>
      <c r="G270" t="s">
        <v>16</v>
      </c>
      <c r="H270" s="4">
        <v>5000</v>
      </c>
      <c r="I270">
        <v>1</v>
      </c>
      <c r="J270">
        <v>0</v>
      </c>
      <c r="K270">
        <v>5000</v>
      </c>
      <c r="L270">
        <v>1625.56</v>
      </c>
      <c r="M270" t="s">
        <v>17</v>
      </c>
    </row>
    <row r="271" spans="1:13" x14ac:dyDescent="0.25">
      <c r="A271" t="s">
        <v>113</v>
      </c>
      <c r="B271">
        <f t="shared" si="4"/>
        <v>1</v>
      </c>
      <c r="C271" s="5">
        <v>46037</v>
      </c>
      <c r="D271" t="s">
        <v>19</v>
      </c>
      <c r="E271" t="s">
        <v>14</v>
      </c>
      <c r="F271" t="s">
        <v>26</v>
      </c>
      <c r="G271" t="s">
        <v>41</v>
      </c>
      <c r="H271" s="4">
        <v>15000</v>
      </c>
      <c r="I271">
        <v>1</v>
      </c>
      <c r="J271">
        <v>0</v>
      </c>
      <c r="K271">
        <v>15000</v>
      </c>
      <c r="L271">
        <v>0</v>
      </c>
      <c r="M271" t="s">
        <v>17</v>
      </c>
    </row>
    <row r="272" spans="1:13" x14ac:dyDescent="0.25">
      <c r="A272" t="s">
        <v>288</v>
      </c>
      <c r="B272">
        <f t="shared" si="4"/>
        <v>1</v>
      </c>
      <c r="C272" s="5">
        <v>46037</v>
      </c>
      <c r="D272" t="s">
        <v>31</v>
      </c>
      <c r="E272" t="s">
        <v>28</v>
      </c>
      <c r="F272" t="s">
        <v>26</v>
      </c>
      <c r="G272" t="s">
        <v>29</v>
      </c>
      <c r="H272" s="4">
        <v>8000</v>
      </c>
      <c r="I272">
        <v>1</v>
      </c>
      <c r="J272">
        <v>0</v>
      </c>
      <c r="K272">
        <v>8000</v>
      </c>
      <c r="L272">
        <v>0</v>
      </c>
      <c r="M272" t="s">
        <v>17</v>
      </c>
    </row>
    <row r="273" spans="1:13" x14ac:dyDescent="0.25">
      <c r="A273" t="s">
        <v>461</v>
      </c>
      <c r="B273">
        <f t="shared" si="4"/>
        <v>1</v>
      </c>
      <c r="C273" s="5">
        <v>46037</v>
      </c>
      <c r="D273" t="s">
        <v>19</v>
      </c>
      <c r="E273" t="s">
        <v>14</v>
      </c>
      <c r="F273" t="s">
        <v>26</v>
      </c>
      <c r="G273" t="s">
        <v>41</v>
      </c>
      <c r="H273" s="4">
        <v>15000</v>
      </c>
      <c r="I273">
        <v>1</v>
      </c>
      <c r="J273">
        <v>0.2</v>
      </c>
      <c r="K273">
        <v>12000</v>
      </c>
      <c r="L273">
        <v>0</v>
      </c>
      <c r="M273" t="s">
        <v>33</v>
      </c>
    </row>
    <row r="274" spans="1:13" x14ac:dyDescent="0.25">
      <c r="A274" t="s">
        <v>245</v>
      </c>
      <c r="B274">
        <f t="shared" si="4"/>
        <v>1</v>
      </c>
      <c r="C274" s="5">
        <v>46038</v>
      </c>
      <c r="D274" t="s">
        <v>24</v>
      </c>
      <c r="E274" t="s">
        <v>25</v>
      </c>
      <c r="F274" t="s">
        <v>21</v>
      </c>
      <c r="G274" t="s">
        <v>22</v>
      </c>
      <c r="H274" s="4">
        <v>35000</v>
      </c>
      <c r="I274">
        <v>2</v>
      </c>
      <c r="J274">
        <v>0.05</v>
      </c>
      <c r="K274">
        <v>66500</v>
      </c>
      <c r="L274">
        <v>3059.53</v>
      </c>
      <c r="M274" t="s">
        <v>33</v>
      </c>
    </row>
    <row r="275" spans="1:13" x14ac:dyDescent="0.25">
      <c r="A275" t="s">
        <v>381</v>
      </c>
      <c r="B275">
        <f t="shared" si="4"/>
        <v>1</v>
      </c>
      <c r="C275" s="5">
        <v>46039</v>
      </c>
      <c r="D275" t="s">
        <v>13</v>
      </c>
      <c r="E275" t="s">
        <v>25</v>
      </c>
      <c r="F275" t="s">
        <v>49</v>
      </c>
      <c r="G275" t="s">
        <v>29</v>
      </c>
      <c r="H275" s="4">
        <v>8000</v>
      </c>
      <c r="I275">
        <v>2</v>
      </c>
      <c r="J275">
        <v>0</v>
      </c>
      <c r="K275">
        <v>16000</v>
      </c>
      <c r="L275">
        <v>3155.09</v>
      </c>
      <c r="M275" t="s">
        <v>33</v>
      </c>
    </row>
    <row r="276" spans="1:13" x14ac:dyDescent="0.25">
      <c r="A276" t="s">
        <v>60</v>
      </c>
      <c r="B276">
        <f t="shared" si="4"/>
        <v>1</v>
      </c>
      <c r="C276" s="5">
        <v>46040</v>
      </c>
      <c r="D276" t="s">
        <v>19</v>
      </c>
      <c r="E276" t="s">
        <v>20</v>
      </c>
      <c r="F276" t="s">
        <v>49</v>
      </c>
      <c r="G276" t="s">
        <v>43</v>
      </c>
      <c r="H276" s="4">
        <v>65000</v>
      </c>
      <c r="I276">
        <v>2</v>
      </c>
      <c r="J276">
        <v>0.2</v>
      </c>
      <c r="K276">
        <v>104000</v>
      </c>
      <c r="L276">
        <v>938.12</v>
      </c>
      <c r="M276" t="s">
        <v>33</v>
      </c>
    </row>
    <row r="277" spans="1:13" x14ac:dyDescent="0.25">
      <c r="A277" t="s">
        <v>68</v>
      </c>
      <c r="B277">
        <f t="shared" si="4"/>
        <v>1</v>
      </c>
      <c r="C277" s="5">
        <v>46040</v>
      </c>
      <c r="D277" t="s">
        <v>24</v>
      </c>
      <c r="E277" t="s">
        <v>32</v>
      </c>
      <c r="F277" t="s">
        <v>47</v>
      </c>
      <c r="G277" t="s">
        <v>41</v>
      </c>
      <c r="H277" s="4">
        <v>15000</v>
      </c>
      <c r="I277">
        <v>1</v>
      </c>
      <c r="J277">
        <v>0.1</v>
      </c>
      <c r="K277">
        <v>13500</v>
      </c>
      <c r="L277">
        <v>482.03</v>
      </c>
      <c r="M277" t="s">
        <v>33</v>
      </c>
    </row>
    <row r="278" spans="1:13" x14ac:dyDescent="0.25">
      <c r="A278" t="s">
        <v>192</v>
      </c>
      <c r="B278">
        <f t="shared" si="4"/>
        <v>1</v>
      </c>
      <c r="C278" s="5">
        <v>46043</v>
      </c>
      <c r="D278" t="s">
        <v>65</v>
      </c>
      <c r="E278" t="s">
        <v>25</v>
      </c>
      <c r="F278" t="s">
        <v>26</v>
      </c>
      <c r="G278" t="s">
        <v>43</v>
      </c>
      <c r="H278" s="4">
        <v>65000</v>
      </c>
      <c r="I278">
        <v>2</v>
      </c>
      <c r="J278">
        <v>0.1</v>
      </c>
      <c r="K278">
        <v>117000</v>
      </c>
      <c r="L278">
        <v>1536.36</v>
      </c>
      <c r="M278" t="s">
        <v>33</v>
      </c>
    </row>
    <row r="279" spans="1:13" x14ac:dyDescent="0.25">
      <c r="A279" t="s">
        <v>272</v>
      </c>
      <c r="B279">
        <f t="shared" si="4"/>
        <v>1</v>
      </c>
      <c r="C279" s="5">
        <v>46045</v>
      </c>
      <c r="D279" t="s">
        <v>65</v>
      </c>
      <c r="E279" t="s">
        <v>35</v>
      </c>
      <c r="F279" t="s">
        <v>39</v>
      </c>
      <c r="G279" t="s">
        <v>22</v>
      </c>
      <c r="H279" s="4">
        <v>35000</v>
      </c>
      <c r="I279">
        <v>2</v>
      </c>
      <c r="J279">
        <v>0</v>
      </c>
      <c r="K279">
        <v>70000</v>
      </c>
      <c r="L279">
        <v>805.91</v>
      </c>
      <c r="M279" t="s">
        <v>17</v>
      </c>
    </row>
    <row r="280" spans="1:13" x14ac:dyDescent="0.25">
      <c r="A280" t="s">
        <v>200</v>
      </c>
      <c r="B280">
        <f t="shared" si="4"/>
        <v>1</v>
      </c>
      <c r="C280" s="5">
        <v>46046</v>
      </c>
      <c r="D280" t="s">
        <v>31</v>
      </c>
      <c r="E280" t="s">
        <v>25</v>
      </c>
      <c r="F280" t="s">
        <v>15</v>
      </c>
      <c r="G280" t="s">
        <v>16</v>
      </c>
      <c r="H280" s="4">
        <v>5000</v>
      </c>
      <c r="I280">
        <v>2</v>
      </c>
      <c r="J280">
        <v>0</v>
      </c>
      <c r="K280">
        <v>10000</v>
      </c>
      <c r="L280">
        <v>2094.88</v>
      </c>
      <c r="M280" t="s">
        <v>33</v>
      </c>
    </row>
    <row r="281" spans="1:13" x14ac:dyDescent="0.25">
      <c r="A281" t="s">
        <v>152</v>
      </c>
      <c r="B281">
        <f t="shared" si="4"/>
        <v>1</v>
      </c>
      <c r="C281" s="5">
        <v>46049</v>
      </c>
      <c r="D281" t="s">
        <v>19</v>
      </c>
      <c r="E281" t="s">
        <v>20</v>
      </c>
      <c r="F281" t="s">
        <v>15</v>
      </c>
      <c r="G281" t="s">
        <v>41</v>
      </c>
      <c r="H281" s="4">
        <v>15000</v>
      </c>
      <c r="I281">
        <v>1</v>
      </c>
      <c r="J281">
        <v>0.1</v>
      </c>
      <c r="K281">
        <v>13500</v>
      </c>
      <c r="L281">
        <v>633.75</v>
      </c>
      <c r="M281" t="s">
        <v>33</v>
      </c>
    </row>
    <row r="282" spans="1:13" x14ac:dyDescent="0.25">
      <c r="A282" t="s">
        <v>12</v>
      </c>
      <c r="B282">
        <f t="shared" si="4"/>
        <v>1</v>
      </c>
      <c r="C282" s="5">
        <v>46051</v>
      </c>
      <c r="D282" t="s">
        <v>13</v>
      </c>
      <c r="E282" t="s">
        <v>14</v>
      </c>
      <c r="F282" t="s">
        <v>15</v>
      </c>
      <c r="G282" t="s">
        <v>16</v>
      </c>
      <c r="H282" s="4">
        <v>5000</v>
      </c>
      <c r="I282">
        <v>1</v>
      </c>
      <c r="J282">
        <v>0</v>
      </c>
      <c r="K282">
        <v>5000</v>
      </c>
      <c r="L282">
        <v>0</v>
      </c>
      <c r="M282" t="s">
        <v>17</v>
      </c>
    </row>
    <row r="283" spans="1:13" x14ac:dyDescent="0.25">
      <c r="A283" t="s">
        <v>258</v>
      </c>
      <c r="B283">
        <f t="shared" si="4"/>
        <v>1</v>
      </c>
      <c r="C283" s="5">
        <v>46052</v>
      </c>
      <c r="D283" t="s">
        <v>13</v>
      </c>
      <c r="E283" t="s">
        <v>38</v>
      </c>
      <c r="F283" t="s">
        <v>49</v>
      </c>
      <c r="G283" t="s">
        <v>22</v>
      </c>
      <c r="H283" s="4">
        <v>35000</v>
      </c>
      <c r="I283">
        <v>3</v>
      </c>
      <c r="J283">
        <v>0.1</v>
      </c>
      <c r="K283">
        <v>94500</v>
      </c>
      <c r="L283">
        <v>0</v>
      </c>
      <c r="M283" t="s">
        <v>17</v>
      </c>
    </row>
    <row r="284" spans="1:13" x14ac:dyDescent="0.25">
      <c r="A284" t="s">
        <v>77</v>
      </c>
      <c r="B284">
        <f t="shared" si="4"/>
        <v>1</v>
      </c>
      <c r="C284" s="5">
        <v>46053</v>
      </c>
      <c r="D284" t="s">
        <v>65</v>
      </c>
      <c r="E284" t="s">
        <v>78</v>
      </c>
      <c r="F284" t="s">
        <v>26</v>
      </c>
      <c r="G284" t="s">
        <v>43</v>
      </c>
      <c r="H284" s="4">
        <v>65000</v>
      </c>
      <c r="I284">
        <v>2</v>
      </c>
      <c r="J284">
        <v>0.1</v>
      </c>
      <c r="K284">
        <v>117000</v>
      </c>
      <c r="L284">
        <v>2598.9</v>
      </c>
      <c r="M284" t="s">
        <v>17</v>
      </c>
    </row>
    <row r="285" spans="1:13" x14ac:dyDescent="0.25">
      <c r="A285" t="s">
        <v>423</v>
      </c>
      <c r="B285">
        <f t="shared" si="4"/>
        <v>1</v>
      </c>
      <c r="C285" s="5">
        <v>46053</v>
      </c>
      <c r="D285" t="s">
        <v>65</v>
      </c>
      <c r="E285" t="s">
        <v>35</v>
      </c>
      <c r="F285" t="s">
        <v>39</v>
      </c>
      <c r="G285" t="s">
        <v>41</v>
      </c>
      <c r="H285" s="4">
        <v>15000</v>
      </c>
      <c r="I285">
        <v>1</v>
      </c>
      <c r="J285">
        <v>0</v>
      </c>
      <c r="K285">
        <v>15000</v>
      </c>
      <c r="L285">
        <v>251.18</v>
      </c>
      <c r="M285" t="s">
        <v>17</v>
      </c>
    </row>
    <row r="286" spans="1:13" x14ac:dyDescent="0.25">
      <c r="A286" t="s">
        <v>467</v>
      </c>
      <c r="B286">
        <f t="shared" si="4"/>
        <v>1</v>
      </c>
      <c r="C286" s="5">
        <v>46053</v>
      </c>
      <c r="D286" t="s">
        <v>24</v>
      </c>
      <c r="E286" t="s">
        <v>32</v>
      </c>
      <c r="F286" t="s">
        <v>26</v>
      </c>
      <c r="G286" t="s">
        <v>22</v>
      </c>
      <c r="H286" s="4">
        <v>35000</v>
      </c>
      <c r="I286">
        <v>2</v>
      </c>
      <c r="J286">
        <v>0.1</v>
      </c>
      <c r="K286">
        <v>63000</v>
      </c>
      <c r="L286">
        <v>1617.61</v>
      </c>
      <c r="M286" t="s">
        <v>33</v>
      </c>
    </row>
    <row r="287" spans="1:13" x14ac:dyDescent="0.25">
      <c r="A287" t="s">
        <v>487</v>
      </c>
      <c r="B287">
        <f t="shared" si="4"/>
        <v>1</v>
      </c>
      <c r="C287" s="5">
        <v>46053</v>
      </c>
      <c r="D287" t="s">
        <v>13</v>
      </c>
      <c r="E287" t="s">
        <v>35</v>
      </c>
      <c r="F287" t="s">
        <v>39</v>
      </c>
      <c r="G287" t="s">
        <v>41</v>
      </c>
      <c r="H287" s="4">
        <v>15000</v>
      </c>
      <c r="I287">
        <v>3</v>
      </c>
      <c r="J287">
        <v>0</v>
      </c>
      <c r="K287">
        <v>45000</v>
      </c>
      <c r="L287">
        <v>892.07</v>
      </c>
      <c r="M287" t="s">
        <v>17</v>
      </c>
    </row>
    <row r="288" spans="1:13" x14ac:dyDescent="0.25">
      <c r="A288" t="s">
        <v>359</v>
      </c>
      <c r="B288">
        <f t="shared" si="4"/>
        <v>1</v>
      </c>
      <c r="C288" s="5">
        <v>46057</v>
      </c>
      <c r="D288" t="s">
        <v>13</v>
      </c>
      <c r="E288" t="s">
        <v>35</v>
      </c>
      <c r="F288" t="s">
        <v>15</v>
      </c>
      <c r="G288" t="s">
        <v>29</v>
      </c>
      <c r="H288" s="4">
        <v>8000</v>
      </c>
      <c r="I288">
        <v>1</v>
      </c>
      <c r="J288">
        <v>0.1</v>
      </c>
      <c r="K288">
        <v>7200</v>
      </c>
      <c r="L288">
        <v>1994.5</v>
      </c>
      <c r="M288" t="s">
        <v>33</v>
      </c>
    </row>
    <row r="289" spans="1:13" x14ac:dyDescent="0.25">
      <c r="A289" t="s">
        <v>98</v>
      </c>
      <c r="B289">
        <f t="shared" si="4"/>
        <v>1</v>
      </c>
      <c r="C289" s="5">
        <v>46059</v>
      </c>
      <c r="D289" t="s">
        <v>13</v>
      </c>
      <c r="E289" t="s">
        <v>32</v>
      </c>
      <c r="F289" t="s">
        <v>49</v>
      </c>
      <c r="G289" t="s">
        <v>16</v>
      </c>
      <c r="H289" s="4">
        <v>5000</v>
      </c>
      <c r="I289">
        <v>2</v>
      </c>
      <c r="J289">
        <v>0.05</v>
      </c>
      <c r="K289">
        <v>9500</v>
      </c>
      <c r="L289">
        <v>1916.24</v>
      </c>
      <c r="M289" t="s">
        <v>33</v>
      </c>
    </row>
    <row r="290" spans="1:13" x14ac:dyDescent="0.25">
      <c r="A290" t="s">
        <v>350</v>
      </c>
      <c r="B290">
        <f t="shared" si="4"/>
        <v>1</v>
      </c>
      <c r="C290" s="5">
        <v>46061</v>
      </c>
      <c r="D290" t="s">
        <v>24</v>
      </c>
      <c r="E290" t="s">
        <v>32</v>
      </c>
      <c r="F290" t="s">
        <v>26</v>
      </c>
      <c r="G290" t="s">
        <v>41</v>
      </c>
      <c r="H290" s="4">
        <v>15000</v>
      </c>
      <c r="I290">
        <v>3</v>
      </c>
      <c r="J290">
        <v>0.05</v>
      </c>
      <c r="K290">
        <v>42750</v>
      </c>
      <c r="L290">
        <v>3050.14</v>
      </c>
      <c r="M290" t="s">
        <v>33</v>
      </c>
    </row>
    <row r="291" spans="1:13" x14ac:dyDescent="0.25">
      <c r="A291" t="s">
        <v>451</v>
      </c>
      <c r="B291">
        <f t="shared" si="4"/>
        <v>1</v>
      </c>
      <c r="C291" s="5">
        <v>46063</v>
      </c>
      <c r="D291" t="s">
        <v>19</v>
      </c>
      <c r="E291" t="s">
        <v>20</v>
      </c>
      <c r="F291" t="s">
        <v>36</v>
      </c>
      <c r="G291" t="s">
        <v>22</v>
      </c>
      <c r="H291" s="4">
        <v>35000</v>
      </c>
      <c r="I291">
        <v>3</v>
      </c>
      <c r="J291">
        <v>0.1</v>
      </c>
      <c r="K291">
        <v>94500</v>
      </c>
      <c r="L291">
        <v>2830.37</v>
      </c>
      <c r="M291" t="s">
        <v>17</v>
      </c>
    </row>
    <row r="292" spans="1:13" x14ac:dyDescent="0.25">
      <c r="A292" t="s">
        <v>184</v>
      </c>
      <c r="B292">
        <f t="shared" si="4"/>
        <v>1</v>
      </c>
      <c r="C292" s="5">
        <v>46065</v>
      </c>
      <c r="D292" t="s">
        <v>24</v>
      </c>
      <c r="E292" t="s">
        <v>38</v>
      </c>
      <c r="F292" t="s">
        <v>49</v>
      </c>
      <c r="G292" t="s">
        <v>43</v>
      </c>
      <c r="H292" s="4">
        <v>65000</v>
      </c>
      <c r="I292">
        <v>1</v>
      </c>
      <c r="J292">
        <v>0</v>
      </c>
      <c r="K292">
        <v>65000</v>
      </c>
      <c r="L292">
        <v>0</v>
      </c>
      <c r="M292" t="s">
        <v>17</v>
      </c>
    </row>
    <row r="293" spans="1:13" x14ac:dyDescent="0.25">
      <c r="A293" t="s">
        <v>271</v>
      </c>
      <c r="B293">
        <f t="shared" si="4"/>
        <v>1</v>
      </c>
      <c r="C293" s="5">
        <v>46065</v>
      </c>
      <c r="D293" t="s">
        <v>24</v>
      </c>
      <c r="E293" t="s">
        <v>35</v>
      </c>
      <c r="F293" t="s">
        <v>26</v>
      </c>
      <c r="G293" t="s">
        <v>22</v>
      </c>
      <c r="H293" s="4">
        <v>35000</v>
      </c>
      <c r="I293">
        <v>3</v>
      </c>
      <c r="J293">
        <v>0.05</v>
      </c>
      <c r="K293">
        <v>99750</v>
      </c>
      <c r="L293">
        <v>1843.89</v>
      </c>
      <c r="M293" t="s">
        <v>17</v>
      </c>
    </row>
    <row r="294" spans="1:13" x14ac:dyDescent="0.25">
      <c r="A294" t="s">
        <v>55</v>
      </c>
      <c r="B294">
        <f t="shared" si="4"/>
        <v>1</v>
      </c>
      <c r="C294" s="5">
        <v>46066</v>
      </c>
      <c r="D294" t="s">
        <v>31</v>
      </c>
      <c r="E294" t="s">
        <v>32</v>
      </c>
      <c r="F294" t="s">
        <v>15</v>
      </c>
      <c r="G294" t="s">
        <v>43</v>
      </c>
      <c r="H294" s="4">
        <v>65000</v>
      </c>
      <c r="I294">
        <v>1</v>
      </c>
      <c r="J294">
        <v>0.2</v>
      </c>
      <c r="K294">
        <v>52000</v>
      </c>
      <c r="L294">
        <v>2536.6799999999998</v>
      </c>
      <c r="M294" t="s">
        <v>33</v>
      </c>
    </row>
    <row r="295" spans="1:13" x14ac:dyDescent="0.25">
      <c r="A295" t="s">
        <v>398</v>
      </c>
      <c r="B295">
        <f t="shared" si="4"/>
        <v>1</v>
      </c>
      <c r="C295" s="5">
        <v>46067</v>
      </c>
      <c r="D295" t="s">
        <v>13</v>
      </c>
      <c r="E295" t="s">
        <v>28</v>
      </c>
      <c r="F295" t="s">
        <v>26</v>
      </c>
      <c r="G295" t="s">
        <v>22</v>
      </c>
      <c r="H295" s="4">
        <v>35000</v>
      </c>
      <c r="I295">
        <v>1</v>
      </c>
      <c r="J295">
        <v>0.2</v>
      </c>
      <c r="K295">
        <v>28000</v>
      </c>
      <c r="L295">
        <v>0</v>
      </c>
      <c r="M295" t="s">
        <v>17</v>
      </c>
    </row>
    <row r="296" spans="1:13" x14ac:dyDescent="0.25">
      <c r="A296" t="s">
        <v>424</v>
      </c>
      <c r="B296">
        <f t="shared" si="4"/>
        <v>1</v>
      </c>
      <c r="C296" s="5">
        <v>46067</v>
      </c>
      <c r="D296" t="s">
        <v>65</v>
      </c>
      <c r="E296" t="s">
        <v>14</v>
      </c>
      <c r="F296" t="s">
        <v>101</v>
      </c>
      <c r="G296" t="s">
        <v>22</v>
      </c>
      <c r="H296" s="4">
        <v>35000</v>
      </c>
      <c r="I296">
        <v>1</v>
      </c>
      <c r="J296">
        <v>0</v>
      </c>
      <c r="K296">
        <v>35000</v>
      </c>
      <c r="L296">
        <v>0</v>
      </c>
      <c r="M296" t="s">
        <v>33</v>
      </c>
    </row>
    <row r="297" spans="1:13" x14ac:dyDescent="0.25">
      <c r="A297" t="s">
        <v>436</v>
      </c>
      <c r="B297">
        <f t="shared" si="4"/>
        <v>1</v>
      </c>
      <c r="C297" s="5">
        <v>46067</v>
      </c>
      <c r="D297" t="s">
        <v>24</v>
      </c>
      <c r="E297" t="s">
        <v>32</v>
      </c>
      <c r="F297" t="s">
        <v>36</v>
      </c>
      <c r="G297" t="s">
        <v>41</v>
      </c>
      <c r="H297" s="4">
        <v>15000</v>
      </c>
      <c r="I297">
        <v>1</v>
      </c>
      <c r="J297">
        <v>0.2</v>
      </c>
      <c r="K297">
        <v>12000</v>
      </c>
      <c r="L297">
        <v>279.58999999999997</v>
      </c>
      <c r="M297" t="s">
        <v>33</v>
      </c>
    </row>
    <row r="298" spans="1:13" x14ac:dyDescent="0.25">
      <c r="A298" t="s">
        <v>277</v>
      </c>
      <c r="B298">
        <f t="shared" si="4"/>
        <v>1</v>
      </c>
      <c r="C298" s="5">
        <v>46068</v>
      </c>
      <c r="D298" t="s">
        <v>13</v>
      </c>
      <c r="E298" t="s">
        <v>14</v>
      </c>
      <c r="F298" t="s">
        <v>15</v>
      </c>
      <c r="G298" t="s">
        <v>29</v>
      </c>
      <c r="H298" s="4">
        <v>8000</v>
      </c>
      <c r="I298">
        <v>2</v>
      </c>
      <c r="J298">
        <v>0</v>
      </c>
      <c r="K298">
        <v>16000</v>
      </c>
      <c r="L298">
        <v>0</v>
      </c>
      <c r="M298" t="s">
        <v>17</v>
      </c>
    </row>
    <row r="299" spans="1:13" x14ac:dyDescent="0.25">
      <c r="A299" t="s">
        <v>464</v>
      </c>
      <c r="B299">
        <f t="shared" si="4"/>
        <v>1</v>
      </c>
      <c r="C299" s="5">
        <v>46069</v>
      </c>
      <c r="D299" t="s">
        <v>13</v>
      </c>
      <c r="E299" t="s">
        <v>14</v>
      </c>
      <c r="F299" t="s">
        <v>26</v>
      </c>
      <c r="G299" t="s">
        <v>43</v>
      </c>
      <c r="H299" s="4">
        <v>65000</v>
      </c>
      <c r="I299">
        <v>2</v>
      </c>
      <c r="J299">
        <v>0</v>
      </c>
      <c r="K299">
        <v>130000</v>
      </c>
      <c r="L299">
        <v>0</v>
      </c>
      <c r="M299" t="s">
        <v>17</v>
      </c>
    </row>
    <row r="300" spans="1:13" x14ac:dyDescent="0.25">
      <c r="A300" t="s">
        <v>264</v>
      </c>
      <c r="B300">
        <f t="shared" si="4"/>
        <v>1</v>
      </c>
      <c r="C300" s="5">
        <v>46070</v>
      </c>
      <c r="D300" t="s">
        <v>31</v>
      </c>
      <c r="E300" t="s">
        <v>32</v>
      </c>
      <c r="F300" t="s">
        <v>36</v>
      </c>
      <c r="G300" t="s">
        <v>29</v>
      </c>
      <c r="H300" s="4">
        <v>8000</v>
      </c>
      <c r="I300">
        <v>1</v>
      </c>
      <c r="J300">
        <v>0.05</v>
      </c>
      <c r="K300">
        <v>7600</v>
      </c>
      <c r="L300">
        <v>1557.7</v>
      </c>
      <c r="M300" t="s">
        <v>17</v>
      </c>
    </row>
    <row r="301" spans="1:13" x14ac:dyDescent="0.25">
      <c r="A301" t="s">
        <v>388</v>
      </c>
      <c r="B301">
        <f t="shared" si="4"/>
        <v>1</v>
      </c>
      <c r="C301" s="5">
        <v>46070</v>
      </c>
      <c r="D301" t="s">
        <v>19</v>
      </c>
      <c r="E301" t="s">
        <v>20</v>
      </c>
      <c r="F301" t="s">
        <v>39</v>
      </c>
      <c r="G301" t="s">
        <v>16</v>
      </c>
      <c r="H301" s="4">
        <v>5000</v>
      </c>
      <c r="I301">
        <v>1</v>
      </c>
      <c r="J301">
        <v>0</v>
      </c>
      <c r="K301">
        <v>5000</v>
      </c>
      <c r="L301">
        <v>1917.47</v>
      </c>
      <c r="M301" t="s">
        <v>33</v>
      </c>
    </row>
    <row r="302" spans="1:13" x14ac:dyDescent="0.25">
      <c r="A302" t="s">
        <v>191</v>
      </c>
      <c r="B302">
        <f t="shared" si="4"/>
        <v>1</v>
      </c>
      <c r="C302" s="5">
        <v>46072</v>
      </c>
      <c r="D302" t="s">
        <v>19</v>
      </c>
      <c r="E302" t="s">
        <v>35</v>
      </c>
      <c r="F302" t="s">
        <v>49</v>
      </c>
      <c r="G302" t="s">
        <v>29</v>
      </c>
      <c r="H302" s="4">
        <v>8000</v>
      </c>
      <c r="I302">
        <v>2</v>
      </c>
      <c r="J302">
        <v>0</v>
      </c>
      <c r="K302">
        <v>16000</v>
      </c>
      <c r="L302">
        <v>1122.4000000000001</v>
      </c>
      <c r="M302" t="s">
        <v>17</v>
      </c>
    </row>
    <row r="303" spans="1:13" x14ac:dyDescent="0.25">
      <c r="A303" t="s">
        <v>285</v>
      </c>
      <c r="B303">
        <f t="shared" si="4"/>
        <v>1</v>
      </c>
      <c r="C303" s="5">
        <v>46072</v>
      </c>
      <c r="D303" t="s">
        <v>24</v>
      </c>
      <c r="E303" t="s">
        <v>14</v>
      </c>
      <c r="F303" t="s">
        <v>15</v>
      </c>
      <c r="G303" t="s">
        <v>41</v>
      </c>
      <c r="H303" s="4">
        <v>15000</v>
      </c>
      <c r="I303">
        <v>2</v>
      </c>
      <c r="J303">
        <v>0.2</v>
      </c>
      <c r="K303">
        <v>24000</v>
      </c>
      <c r="L303">
        <v>0</v>
      </c>
      <c r="M303" t="s">
        <v>33</v>
      </c>
    </row>
    <row r="304" spans="1:13" x14ac:dyDescent="0.25">
      <c r="A304" t="s">
        <v>428</v>
      </c>
      <c r="B304">
        <f t="shared" si="4"/>
        <v>1</v>
      </c>
      <c r="C304" s="5">
        <v>46073</v>
      </c>
      <c r="D304" t="s">
        <v>65</v>
      </c>
      <c r="E304" t="s">
        <v>35</v>
      </c>
      <c r="F304" t="s">
        <v>36</v>
      </c>
      <c r="G304" t="s">
        <v>22</v>
      </c>
      <c r="H304" s="4">
        <v>35000</v>
      </c>
      <c r="I304">
        <v>1</v>
      </c>
      <c r="J304">
        <v>0.2</v>
      </c>
      <c r="K304">
        <v>28000</v>
      </c>
      <c r="L304">
        <v>1195.58</v>
      </c>
      <c r="M304" t="s">
        <v>17</v>
      </c>
    </row>
    <row r="305" spans="1:13" x14ac:dyDescent="0.25">
      <c r="A305" t="s">
        <v>202</v>
      </c>
      <c r="B305">
        <f t="shared" si="4"/>
        <v>1</v>
      </c>
      <c r="C305" s="5">
        <v>46074</v>
      </c>
      <c r="D305" t="s">
        <v>19</v>
      </c>
      <c r="E305" t="s">
        <v>14</v>
      </c>
      <c r="F305" t="s">
        <v>39</v>
      </c>
      <c r="G305" t="s">
        <v>43</v>
      </c>
      <c r="H305" s="4">
        <v>65000</v>
      </c>
      <c r="I305">
        <v>1</v>
      </c>
      <c r="J305">
        <v>0.2</v>
      </c>
      <c r="K305">
        <v>52000</v>
      </c>
      <c r="L305">
        <v>0</v>
      </c>
      <c r="M305" t="s">
        <v>17</v>
      </c>
    </row>
    <row r="306" spans="1:13" x14ac:dyDescent="0.25">
      <c r="A306" t="s">
        <v>139</v>
      </c>
      <c r="B306">
        <f t="shared" si="4"/>
        <v>1</v>
      </c>
      <c r="C306" s="5">
        <v>46075</v>
      </c>
      <c r="D306" t="s">
        <v>24</v>
      </c>
      <c r="E306" t="s">
        <v>38</v>
      </c>
      <c r="F306" t="s">
        <v>39</v>
      </c>
      <c r="G306" t="s">
        <v>29</v>
      </c>
      <c r="H306" s="4">
        <v>8000</v>
      </c>
      <c r="I306">
        <v>2</v>
      </c>
      <c r="J306">
        <v>0.15</v>
      </c>
      <c r="K306">
        <v>13600</v>
      </c>
      <c r="L306">
        <v>0</v>
      </c>
      <c r="M306" t="s">
        <v>17</v>
      </c>
    </row>
    <row r="307" spans="1:13" x14ac:dyDescent="0.25">
      <c r="A307" t="s">
        <v>262</v>
      </c>
      <c r="B307">
        <f t="shared" si="4"/>
        <v>1</v>
      </c>
      <c r="C307" s="5">
        <v>46081</v>
      </c>
      <c r="D307" t="s">
        <v>65</v>
      </c>
      <c r="E307" t="s">
        <v>35</v>
      </c>
      <c r="F307" t="s">
        <v>49</v>
      </c>
      <c r="G307" t="s">
        <v>22</v>
      </c>
      <c r="H307" s="4">
        <v>35000</v>
      </c>
      <c r="I307">
        <v>1</v>
      </c>
      <c r="J307">
        <v>0</v>
      </c>
      <c r="K307">
        <v>35000</v>
      </c>
      <c r="L307">
        <v>1538.02</v>
      </c>
      <c r="M307" t="s">
        <v>17</v>
      </c>
    </row>
    <row r="308" spans="1:13" x14ac:dyDescent="0.25">
      <c r="A308" t="s">
        <v>339</v>
      </c>
      <c r="B308">
        <f t="shared" si="4"/>
        <v>1</v>
      </c>
      <c r="C308" s="5">
        <v>46082</v>
      </c>
      <c r="D308" t="s">
        <v>19</v>
      </c>
      <c r="E308" t="s">
        <v>20</v>
      </c>
      <c r="F308" t="s">
        <v>15</v>
      </c>
      <c r="G308" t="s">
        <v>22</v>
      </c>
      <c r="H308" s="4">
        <v>35000</v>
      </c>
      <c r="I308">
        <v>1</v>
      </c>
      <c r="J308">
        <v>0.15</v>
      </c>
      <c r="K308">
        <v>29750</v>
      </c>
      <c r="L308">
        <v>202.25</v>
      </c>
      <c r="M308" t="s">
        <v>17</v>
      </c>
    </row>
    <row r="309" spans="1:13" x14ac:dyDescent="0.25">
      <c r="A309" t="s">
        <v>105</v>
      </c>
      <c r="B309">
        <f t="shared" si="4"/>
        <v>1</v>
      </c>
      <c r="C309" s="5">
        <v>46083</v>
      </c>
      <c r="D309" t="s">
        <v>63</v>
      </c>
      <c r="E309" t="s">
        <v>35</v>
      </c>
      <c r="F309" t="s">
        <v>15</v>
      </c>
      <c r="G309" t="s">
        <v>43</v>
      </c>
      <c r="H309" s="4">
        <v>65000</v>
      </c>
      <c r="I309">
        <v>1</v>
      </c>
      <c r="J309">
        <v>0.2</v>
      </c>
      <c r="K309">
        <v>52000</v>
      </c>
      <c r="L309">
        <v>3103.09</v>
      </c>
      <c r="M309" t="s">
        <v>33</v>
      </c>
    </row>
    <row r="310" spans="1:13" x14ac:dyDescent="0.25">
      <c r="A310" t="s">
        <v>406</v>
      </c>
      <c r="B310">
        <f t="shared" si="4"/>
        <v>1</v>
      </c>
      <c r="C310" s="5">
        <v>46083</v>
      </c>
      <c r="D310" t="s">
        <v>13</v>
      </c>
      <c r="E310" t="s">
        <v>28</v>
      </c>
      <c r="F310" t="s">
        <v>49</v>
      </c>
      <c r="G310" t="s">
        <v>22</v>
      </c>
      <c r="H310" s="4">
        <v>35000</v>
      </c>
      <c r="I310">
        <v>1</v>
      </c>
      <c r="J310">
        <v>0.2</v>
      </c>
      <c r="K310">
        <v>28000</v>
      </c>
      <c r="L310">
        <v>0</v>
      </c>
      <c r="M310" t="s">
        <v>17</v>
      </c>
    </row>
    <row r="311" spans="1:13" x14ac:dyDescent="0.25">
      <c r="A311" t="s">
        <v>290</v>
      </c>
      <c r="B311">
        <f t="shared" si="4"/>
        <v>1</v>
      </c>
      <c r="C311" s="5">
        <v>46084</v>
      </c>
      <c r="D311" t="s">
        <v>19</v>
      </c>
      <c r="E311" t="s">
        <v>28</v>
      </c>
      <c r="F311" t="s">
        <v>26</v>
      </c>
      <c r="G311" t="s">
        <v>41</v>
      </c>
      <c r="H311" s="4">
        <v>15000</v>
      </c>
      <c r="I311">
        <v>2</v>
      </c>
      <c r="J311">
        <v>0</v>
      </c>
      <c r="K311">
        <v>30000</v>
      </c>
      <c r="L311">
        <v>0</v>
      </c>
      <c r="M311" t="s">
        <v>17</v>
      </c>
    </row>
    <row r="312" spans="1:13" x14ac:dyDescent="0.25">
      <c r="A312" t="s">
        <v>327</v>
      </c>
      <c r="B312">
        <f t="shared" si="4"/>
        <v>1</v>
      </c>
      <c r="C312" s="5">
        <v>46084</v>
      </c>
      <c r="D312" t="s">
        <v>19</v>
      </c>
      <c r="E312" t="s">
        <v>28</v>
      </c>
      <c r="F312" t="s">
        <v>21</v>
      </c>
      <c r="G312" t="s">
        <v>43</v>
      </c>
      <c r="H312" s="4">
        <v>65000</v>
      </c>
      <c r="I312">
        <v>1</v>
      </c>
      <c r="J312">
        <v>0</v>
      </c>
      <c r="K312">
        <v>65000</v>
      </c>
      <c r="L312">
        <v>0</v>
      </c>
      <c r="M312" t="s">
        <v>17</v>
      </c>
    </row>
    <row r="313" spans="1:13" x14ac:dyDescent="0.25">
      <c r="A313" t="s">
        <v>95</v>
      </c>
      <c r="B313">
        <f t="shared" si="4"/>
        <v>1</v>
      </c>
      <c r="C313" s="5">
        <v>46085</v>
      </c>
      <c r="D313" t="s">
        <v>63</v>
      </c>
      <c r="E313" t="s">
        <v>32</v>
      </c>
      <c r="F313" t="s">
        <v>49</v>
      </c>
      <c r="G313" t="s">
        <v>29</v>
      </c>
      <c r="H313" s="4">
        <v>8000</v>
      </c>
      <c r="I313">
        <v>1</v>
      </c>
      <c r="J313">
        <v>0.1</v>
      </c>
      <c r="K313">
        <v>7200</v>
      </c>
      <c r="L313">
        <v>344.49</v>
      </c>
      <c r="M313" t="s">
        <v>33</v>
      </c>
    </row>
    <row r="314" spans="1:13" x14ac:dyDescent="0.25">
      <c r="A314" t="s">
        <v>389</v>
      </c>
      <c r="B314">
        <f t="shared" si="4"/>
        <v>1</v>
      </c>
      <c r="C314" s="5">
        <v>46085</v>
      </c>
      <c r="D314" t="s">
        <v>63</v>
      </c>
      <c r="E314" t="s">
        <v>32</v>
      </c>
      <c r="F314" t="s">
        <v>26</v>
      </c>
      <c r="G314" t="s">
        <v>16</v>
      </c>
      <c r="H314" s="4">
        <v>5000</v>
      </c>
      <c r="I314">
        <v>2</v>
      </c>
      <c r="J314">
        <v>0</v>
      </c>
      <c r="K314">
        <v>10000</v>
      </c>
      <c r="L314">
        <v>1451.28</v>
      </c>
      <c r="M314" t="s">
        <v>17</v>
      </c>
    </row>
    <row r="315" spans="1:13" x14ac:dyDescent="0.25">
      <c r="A315" t="s">
        <v>196</v>
      </c>
      <c r="B315">
        <f t="shared" si="4"/>
        <v>1</v>
      </c>
      <c r="C315" s="5">
        <v>46087</v>
      </c>
      <c r="D315" t="s">
        <v>31</v>
      </c>
      <c r="E315" t="s">
        <v>14</v>
      </c>
      <c r="F315" t="s">
        <v>21</v>
      </c>
      <c r="G315" t="s">
        <v>16</v>
      </c>
      <c r="H315" s="4">
        <v>5000</v>
      </c>
      <c r="I315">
        <v>2</v>
      </c>
      <c r="J315">
        <v>0.15</v>
      </c>
      <c r="K315">
        <v>8500</v>
      </c>
      <c r="L315">
        <v>0</v>
      </c>
      <c r="M315" t="s">
        <v>17</v>
      </c>
    </row>
    <row r="316" spans="1:13" x14ac:dyDescent="0.25">
      <c r="A316" t="s">
        <v>378</v>
      </c>
      <c r="B316">
        <f t="shared" si="4"/>
        <v>1</v>
      </c>
      <c r="C316" s="5">
        <v>46087</v>
      </c>
      <c r="D316" t="s">
        <v>24</v>
      </c>
      <c r="E316" t="s">
        <v>28</v>
      </c>
      <c r="F316" t="s">
        <v>49</v>
      </c>
      <c r="G316" t="s">
        <v>43</v>
      </c>
      <c r="H316" s="4">
        <v>65000</v>
      </c>
      <c r="I316">
        <v>1</v>
      </c>
      <c r="J316">
        <v>0.05</v>
      </c>
      <c r="K316">
        <v>61750</v>
      </c>
      <c r="L316">
        <v>0</v>
      </c>
      <c r="M316" t="s">
        <v>17</v>
      </c>
    </row>
    <row r="317" spans="1:13" x14ac:dyDescent="0.25">
      <c r="A317" t="s">
        <v>434</v>
      </c>
      <c r="B317">
        <f t="shared" si="4"/>
        <v>1</v>
      </c>
      <c r="C317" s="5">
        <v>46087</v>
      </c>
      <c r="D317" t="s">
        <v>31</v>
      </c>
      <c r="E317" t="s">
        <v>32</v>
      </c>
      <c r="F317" t="s">
        <v>26</v>
      </c>
      <c r="G317" t="s">
        <v>29</v>
      </c>
      <c r="H317" s="4">
        <v>8000</v>
      </c>
      <c r="I317">
        <v>1</v>
      </c>
      <c r="J317">
        <v>0.05</v>
      </c>
      <c r="K317">
        <v>7600</v>
      </c>
      <c r="L317">
        <v>1900.27</v>
      </c>
      <c r="M317" t="s">
        <v>17</v>
      </c>
    </row>
    <row r="318" spans="1:13" x14ac:dyDescent="0.25">
      <c r="A318" t="s">
        <v>268</v>
      </c>
      <c r="B318">
        <f t="shared" si="4"/>
        <v>1</v>
      </c>
      <c r="C318" s="5">
        <v>46088</v>
      </c>
      <c r="D318" t="s">
        <v>13</v>
      </c>
      <c r="E318" t="s">
        <v>38</v>
      </c>
      <c r="F318" t="s">
        <v>26</v>
      </c>
      <c r="G318" t="s">
        <v>22</v>
      </c>
      <c r="H318" s="4">
        <v>35000</v>
      </c>
      <c r="I318">
        <v>3</v>
      </c>
      <c r="J318">
        <v>0</v>
      </c>
      <c r="K318">
        <v>105000</v>
      </c>
      <c r="L318">
        <v>0</v>
      </c>
      <c r="M318" t="s">
        <v>33</v>
      </c>
    </row>
    <row r="319" spans="1:13" x14ac:dyDescent="0.25">
      <c r="A319" t="s">
        <v>315</v>
      </c>
      <c r="B319">
        <f t="shared" si="4"/>
        <v>1</v>
      </c>
      <c r="C319" s="5">
        <v>46088</v>
      </c>
      <c r="D319" t="s">
        <v>65</v>
      </c>
      <c r="E319" t="s">
        <v>25</v>
      </c>
      <c r="F319" t="s">
        <v>49</v>
      </c>
      <c r="G319" t="s">
        <v>29</v>
      </c>
      <c r="H319" s="4">
        <v>8000</v>
      </c>
      <c r="I319">
        <v>2</v>
      </c>
      <c r="J319">
        <v>0.1</v>
      </c>
      <c r="K319">
        <v>14400</v>
      </c>
      <c r="L319">
        <v>1406.4</v>
      </c>
      <c r="M319" t="s">
        <v>17</v>
      </c>
    </row>
    <row r="320" spans="1:13" x14ac:dyDescent="0.25">
      <c r="A320" t="s">
        <v>275</v>
      </c>
      <c r="B320">
        <f t="shared" si="4"/>
        <v>1</v>
      </c>
      <c r="C320" s="5">
        <v>46089</v>
      </c>
      <c r="D320" t="s">
        <v>19</v>
      </c>
      <c r="E320" t="s">
        <v>20</v>
      </c>
      <c r="F320" t="s">
        <v>26</v>
      </c>
      <c r="G320" t="s">
        <v>22</v>
      </c>
      <c r="H320" s="4">
        <v>35000</v>
      </c>
      <c r="I320">
        <v>3</v>
      </c>
      <c r="J320">
        <v>0.15</v>
      </c>
      <c r="K320">
        <v>89250</v>
      </c>
      <c r="L320">
        <v>2070.4499999999998</v>
      </c>
      <c r="M320" t="s">
        <v>17</v>
      </c>
    </row>
    <row r="321" spans="1:13" x14ac:dyDescent="0.25">
      <c r="A321" t="s">
        <v>180</v>
      </c>
      <c r="B321">
        <f t="shared" si="4"/>
        <v>1</v>
      </c>
      <c r="C321" s="5">
        <v>46090</v>
      </c>
      <c r="D321" t="s">
        <v>31</v>
      </c>
      <c r="E321" t="s">
        <v>78</v>
      </c>
      <c r="F321" t="s">
        <v>36</v>
      </c>
      <c r="G321" t="s">
        <v>22</v>
      </c>
      <c r="H321" s="4">
        <v>35000</v>
      </c>
      <c r="I321">
        <v>2</v>
      </c>
      <c r="J321">
        <v>0.2</v>
      </c>
      <c r="K321">
        <v>56000</v>
      </c>
      <c r="L321">
        <v>2723.54</v>
      </c>
      <c r="M321" t="s">
        <v>33</v>
      </c>
    </row>
    <row r="322" spans="1:13" x14ac:dyDescent="0.25">
      <c r="A322" t="s">
        <v>476</v>
      </c>
      <c r="B322">
        <f t="shared" ref="B322:B385" si="5">COUNTIF($A:$A,A322)</f>
        <v>1</v>
      </c>
      <c r="C322" s="5">
        <v>46090</v>
      </c>
      <c r="D322" t="s">
        <v>19</v>
      </c>
      <c r="E322" t="s">
        <v>20</v>
      </c>
      <c r="F322" t="s">
        <v>15</v>
      </c>
      <c r="G322" t="s">
        <v>29</v>
      </c>
      <c r="H322" s="4">
        <v>8000</v>
      </c>
      <c r="I322">
        <v>2</v>
      </c>
      <c r="J322">
        <v>0</v>
      </c>
      <c r="K322">
        <v>16000</v>
      </c>
      <c r="L322">
        <v>1303.92</v>
      </c>
      <c r="M322" t="s">
        <v>17</v>
      </c>
    </row>
    <row r="323" spans="1:13" x14ac:dyDescent="0.25">
      <c r="A323" t="s">
        <v>237</v>
      </c>
      <c r="B323">
        <f t="shared" si="5"/>
        <v>1</v>
      </c>
      <c r="C323" s="5">
        <v>46093</v>
      </c>
      <c r="D323" t="s">
        <v>24</v>
      </c>
      <c r="E323" t="s">
        <v>20</v>
      </c>
      <c r="F323" t="s">
        <v>21</v>
      </c>
      <c r="G323" t="s">
        <v>22</v>
      </c>
      <c r="H323" s="4">
        <v>35000</v>
      </c>
      <c r="I323">
        <v>1</v>
      </c>
      <c r="J323">
        <v>0</v>
      </c>
      <c r="K323">
        <v>35000</v>
      </c>
      <c r="L323">
        <v>3097.84</v>
      </c>
      <c r="M323" t="s">
        <v>33</v>
      </c>
    </row>
    <row r="324" spans="1:13" x14ac:dyDescent="0.25">
      <c r="A324" t="s">
        <v>165</v>
      </c>
      <c r="B324">
        <f t="shared" si="5"/>
        <v>1</v>
      </c>
      <c r="C324" s="5">
        <v>46095</v>
      </c>
      <c r="D324" t="s">
        <v>65</v>
      </c>
      <c r="E324" t="s">
        <v>20</v>
      </c>
      <c r="F324" t="s">
        <v>36</v>
      </c>
      <c r="G324" t="s">
        <v>29</v>
      </c>
      <c r="H324" s="4">
        <v>8000</v>
      </c>
      <c r="I324">
        <v>2</v>
      </c>
      <c r="J324">
        <v>0.2</v>
      </c>
      <c r="K324">
        <v>12800</v>
      </c>
      <c r="L324">
        <v>3279.73</v>
      </c>
      <c r="M324" t="s">
        <v>17</v>
      </c>
    </row>
    <row r="325" spans="1:13" x14ac:dyDescent="0.25">
      <c r="A325" t="s">
        <v>403</v>
      </c>
      <c r="B325">
        <f t="shared" si="5"/>
        <v>1</v>
      </c>
      <c r="C325" s="5">
        <v>46095</v>
      </c>
      <c r="D325" t="s">
        <v>24</v>
      </c>
      <c r="E325" t="s">
        <v>14</v>
      </c>
      <c r="F325" t="s">
        <v>15</v>
      </c>
      <c r="G325" t="s">
        <v>16</v>
      </c>
      <c r="H325" s="4">
        <v>5000</v>
      </c>
      <c r="I325">
        <v>2</v>
      </c>
      <c r="J325">
        <v>0</v>
      </c>
      <c r="K325">
        <v>10000</v>
      </c>
      <c r="L325">
        <v>0</v>
      </c>
      <c r="M325" t="s">
        <v>33</v>
      </c>
    </row>
    <row r="326" spans="1:13" x14ac:dyDescent="0.25">
      <c r="A326" t="s">
        <v>429</v>
      </c>
      <c r="B326">
        <f t="shared" si="5"/>
        <v>1</v>
      </c>
      <c r="C326" s="5">
        <v>46097</v>
      </c>
      <c r="D326" t="s">
        <v>65</v>
      </c>
      <c r="E326" t="s">
        <v>25</v>
      </c>
      <c r="F326" t="s">
        <v>15</v>
      </c>
      <c r="G326" t="s">
        <v>43</v>
      </c>
      <c r="H326" s="4">
        <v>65000</v>
      </c>
      <c r="I326">
        <v>1</v>
      </c>
      <c r="J326">
        <v>0</v>
      </c>
      <c r="K326">
        <v>65000</v>
      </c>
      <c r="L326">
        <v>3292.99</v>
      </c>
      <c r="M326" t="s">
        <v>33</v>
      </c>
    </row>
    <row r="327" spans="1:13" x14ac:dyDescent="0.25">
      <c r="A327" t="s">
        <v>369</v>
      </c>
      <c r="B327">
        <f t="shared" si="5"/>
        <v>1</v>
      </c>
      <c r="C327" s="5">
        <v>46099</v>
      </c>
      <c r="D327" t="s">
        <v>13</v>
      </c>
      <c r="E327" t="s">
        <v>38</v>
      </c>
      <c r="F327" t="s">
        <v>26</v>
      </c>
      <c r="G327" t="s">
        <v>41</v>
      </c>
      <c r="H327" s="4">
        <v>15000</v>
      </c>
      <c r="I327">
        <v>2</v>
      </c>
      <c r="J327">
        <v>0.1</v>
      </c>
      <c r="K327">
        <v>27000</v>
      </c>
      <c r="L327">
        <v>0</v>
      </c>
      <c r="M327" t="s">
        <v>33</v>
      </c>
    </row>
    <row r="328" spans="1:13" x14ac:dyDescent="0.25">
      <c r="A328" t="s">
        <v>293</v>
      </c>
      <c r="B328">
        <f t="shared" si="5"/>
        <v>1</v>
      </c>
      <c r="C328" s="5">
        <v>46101</v>
      </c>
      <c r="D328" t="s">
        <v>65</v>
      </c>
      <c r="E328" t="s">
        <v>32</v>
      </c>
      <c r="F328" t="s">
        <v>26</v>
      </c>
      <c r="G328" t="s">
        <v>29</v>
      </c>
      <c r="H328" s="4">
        <v>8000</v>
      </c>
      <c r="I328">
        <v>3</v>
      </c>
      <c r="J328">
        <v>0</v>
      </c>
      <c r="K328">
        <v>24000</v>
      </c>
      <c r="L328">
        <v>419.62</v>
      </c>
      <c r="M328" t="s">
        <v>33</v>
      </c>
    </row>
    <row r="329" spans="1:13" x14ac:dyDescent="0.25">
      <c r="A329" t="s">
        <v>230</v>
      </c>
      <c r="B329">
        <f t="shared" si="5"/>
        <v>1</v>
      </c>
      <c r="C329" s="5">
        <v>46102</v>
      </c>
      <c r="D329" t="s">
        <v>31</v>
      </c>
      <c r="E329" t="s">
        <v>20</v>
      </c>
      <c r="F329" t="s">
        <v>39</v>
      </c>
      <c r="G329" t="s">
        <v>29</v>
      </c>
      <c r="H329" s="4">
        <v>8000</v>
      </c>
      <c r="I329">
        <v>1</v>
      </c>
      <c r="J329">
        <v>0</v>
      </c>
      <c r="K329">
        <v>8000</v>
      </c>
      <c r="L329">
        <v>1584.48</v>
      </c>
      <c r="M329" t="s">
        <v>17</v>
      </c>
    </row>
    <row r="330" spans="1:13" x14ac:dyDescent="0.25">
      <c r="A330" t="s">
        <v>246</v>
      </c>
      <c r="B330">
        <f t="shared" si="5"/>
        <v>1</v>
      </c>
      <c r="C330" s="5">
        <v>46103</v>
      </c>
      <c r="D330" t="s">
        <v>19</v>
      </c>
      <c r="E330" t="s">
        <v>32</v>
      </c>
      <c r="F330" t="s">
        <v>39</v>
      </c>
      <c r="G330" t="s">
        <v>29</v>
      </c>
      <c r="H330" s="4">
        <v>8000</v>
      </c>
      <c r="I330">
        <v>3</v>
      </c>
      <c r="J330">
        <v>0</v>
      </c>
      <c r="K330">
        <v>24000</v>
      </c>
      <c r="L330">
        <v>1529.17</v>
      </c>
      <c r="M330" t="s">
        <v>33</v>
      </c>
    </row>
    <row r="331" spans="1:13" x14ac:dyDescent="0.25">
      <c r="A331" t="s">
        <v>433</v>
      </c>
      <c r="B331">
        <f t="shared" si="5"/>
        <v>1</v>
      </c>
      <c r="C331" s="5">
        <v>46105</v>
      </c>
      <c r="D331" t="s">
        <v>19</v>
      </c>
      <c r="E331" t="s">
        <v>35</v>
      </c>
      <c r="F331" t="s">
        <v>15</v>
      </c>
      <c r="G331" t="s">
        <v>16</v>
      </c>
      <c r="H331" s="4">
        <v>5000</v>
      </c>
      <c r="I331">
        <v>1</v>
      </c>
      <c r="J331">
        <v>0.15</v>
      </c>
      <c r="K331">
        <v>4250</v>
      </c>
      <c r="L331">
        <v>2956.9</v>
      </c>
      <c r="M331" t="s">
        <v>17</v>
      </c>
    </row>
    <row r="332" spans="1:13" x14ac:dyDescent="0.25">
      <c r="A332" t="s">
        <v>236</v>
      </c>
      <c r="B332">
        <f t="shared" si="5"/>
        <v>1</v>
      </c>
      <c r="C332" s="5">
        <v>46106</v>
      </c>
      <c r="D332" t="s">
        <v>24</v>
      </c>
      <c r="E332" t="s">
        <v>20</v>
      </c>
      <c r="F332" t="s">
        <v>39</v>
      </c>
      <c r="G332" t="s">
        <v>16</v>
      </c>
      <c r="H332" s="4">
        <v>5000</v>
      </c>
      <c r="I332">
        <v>2</v>
      </c>
      <c r="J332">
        <v>0.1</v>
      </c>
      <c r="K332">
        <v>9000</v>
      </c>
      <c r="L332">
        <v>1529.97</v>
      </c>
      <c r="M332" t="s">
        <v>33</v>
      </c>
    </row>
    <row r="333" spans="1:13" x14ac:dyDescent="0.25">
      <c r="A333" t="s">
        <v>413</v>
      </c>
      <c r="B333">
        <f t="shared" si="5"/>
        <v>1</v>
      </c>
      <c r="C333" s="5">
        <v>46107</v>
      </c>
      <c r="D333" t="s">
        <v>31</v>
      </c>
      <c r="E333" t="s">
        <v>14</v>
      </c>
      <c r="F333" t="s">
        <v>21</v>
      </c>
      <c r="G333" t="s">
        <v>29</v>
      </c>
      <c r="H333" s="4">
        <v>8000</v>
      </c>
      <c r="I333">
        <v>1</v>
      </c>
      <c r="J333">
        <v>0</v>
      </c>
      <c r="K333">
        <v>8000</v>
      </c>
      <c r="L333">
        <v>0</v>
      </c>
      <c r="M333" t="s">
        <v>17</v>
      </c>
    </row>
    <row r="334" spans="1:13" x14ac:dyDescent="0.25">
      <c r="A334" t="s">
        <v>18</v>
      </c>
      <c r="B334">
        <f t="shared" si="5"/>
        <v>1</v>
      </c>
      <c r="C334" s="5">
        <v>46108</v>
      </c>
      <c r="D334" t="s">
        <v>19</v>
      </c>
      <c r="E334" t="s">
        <v>20</v>
      </c>
      <c r="F334" t="s">
        <v>21</v>
      </c>
      <c r="G334" t="s">
        <v>22</v>
      </c>
      <c r="H334" s="4">
        <v>35000</v>
      </c>
      <c r="I334">
        <v>1</v>
      </c>
      <c r="J334">
        <v>0.1</v>
      </c>
      <c r="K334">
        <v>31500</v>
      </c>
      <c r="L334">
        <v>1761.29</v>
      </c>
      <c r="M334" t="s">
        <v>17</v>
      </c>
    </row>
    <row r="335" spans="1:13" x14ac:dyDescent="0.25">
      <c r="A335" t="s">
        <v>449</v>
      </c>
      <c r="B335">
        <f t="shared" si="5"/>
        <v>1</v>
      </c>
      <c r="C335" s="5">
        <v>46108</v>
      </c>
      <c r="D335" t="s">
        <v>19</v>
      </c>
      <c r="E335" t="s">
        <v>20</v>
      </c>
      <c r="F335" t="s">
        <v>49</v>
      </c>
      <c r="G335" t="s">
        <v>29</v>
      </c>
      <c r="H335" s="4">
        <v>8000</v>
      </c>
      <c r="I335">
        <v>1</v>
      </c>
      <c r="J335">
        <v>0</v>
      </c>
      <c r="K335">
        <v>8000</v>
      </c>
      <c r="L335">
        <v>1972.94</v>
      </c>
      <c r="M335" t="s">
        <v>33</v>
      </c>
    </row>
    <row r="336" spans="1:13" x14ac:dyDescent="0.25">
      <c r="A336" t="s">
        <v>269</v>
      </c>
      <c r="B336">
        <f t="shared" si="5"/>
        <v>1</v>
      </c>
      <c r="C336" s="5">
        <v>46110</v>
      </c>
      <c r="D336" t="s">
        <v>19</v>
      </c>
      <c r="E336" t="s">
        <v>32</v>
      </c>
      <c r="F336" t="s">
        <v>49</v>
      </c>
      <c r="G336" t="s">
        <v>43</v>
      </c>
      <c r="H336" s="4">
        <v>65000</v>
      </c>
      <c r="I336">
        <v>2</v>
      </c>
      <c r="J336">
        <v>0</v>
      </c>
      <c r="K336">
        <v>130000</v>
      </c>
      <c r="L336">
        <v>2268.29</v>
      </c>
      <c r="M336" t="s">
        <v>17</v>
      </c>
    </row>
    <row r="337" spans="1:13" x14ac:dyDescent="0.25">
      <c r="A337" t="s">
        <v>383</v>
      </c>
      <c r="B337">
        <f t="shared" si="5"/>
        <v>1</v>
      </c>
      <c r="C337" s="5">
        <v>46110</v>
      </c>
      <c r="D337" t="s">
        <v>19</v>
      </c>
      <c r="E337" t="s">
        <v>32</v>
      </c>
      <c r="F337" t="s">
        <v>49</v>
      </c>
      <c r="G337" t="s">
        <v>22</v>
      </c>
      <c r="H337" s="4">
        <v>35000</v>
      </c>
      <c r="I337">
        <v>1</v>
      </c>
      <c r="J337">
        <v>0.05</v>
      </c>
      <c r="K337">
        <v>33250</v>
      </c>
      <c r="L337">
        <v>855.07</v>
      </c>
      <c r="M337" t="s">
        <v>33</v>
      </c>
    </row>
    <row r="338" spans="1:13" x14ac:dyDescent="0.25">
      <c r="A338" t="s">
        <v>97</v>
      </c>
      <c r="B338">
        <f t="shared" si="5"/>
        <v>1</v>
      </c>
      <c r="C338" s="5">
        <v>46115</v>
      </c>
      <c r="D338" t="s">
        <v>31</v>
      </c>
      <c r="E338" t="s">
        <v>38</v>
      </c>
      <c r="F338" t="s">
        <v>26</v>
      </c>
      <c r="G338" t="s">
        <v>22</v>
      </c>
      <c r="H338" s="4">
        <v>35000</v>
      </c>
      <c r="I338">
        <v>2</v>
      </c>
      <c r="J338">
        <v>0</v>
      </c>
      <c r="K338">
        <v>70000</v>
      </c>
      <c r="L338">
        <v>0</v>
      </c>
      <c r="M338" t="s">
        <v>33</v>
      </c>
    </row>
    <row r="339" spans="1:13" x14ac:dyDescent="0.25">
      <c r="A339" t="s">
        <v>115</v>
      </c>
      <c r="B339">
        <f t="shared" si="5"/>
        <v>1</v>
      </c>
      <c r="C339" s="5">
        <v>46115</v>
      </c>
      <c r="D339" t="s">
        <v>13</v>
      </c>
      <c r="E339" t="s">
        <v>35</v>
      </c>
      <c r="F339" t="s">
        <v>21</v>
      </c>
      <c r="G339" t="s">
        <v>43</v>
      </c>
      <c r="H339" s="4">
        <v>65000</v>
      </c>
      <c r="I339">
        <v>1</v>
      </c>
      <c r="J339">
        <v>0</v>
      </c>
      <c r="K339">
        <v>65000</v>
      </c>
      <c r="L339">
        <v>921.01</v>
      </c>
      <c r="M339" t="s">
        <v>33</v>
      </c>
    </row>
    <row r="340" spans="1:13" x14ac:dyDescent="0.25">
      <c r="A340" t="s">
        <v>304</v>
      </c>
      <c r="B340">
        <f t="shared" si="5"/>
        <v>1</v>
      </c>
      <c r="C340" s="5">
        <v>46118</v>
      </c>
      <c r="D340" t="s">
        <v>24</v>
      </c>
      <c r="E340" t="s">
        <v>14</v>
      </c>
      <c r="F340" t="s">
        <v>21</v>
      </c>
      <c r="G340" t="s">
        <v>16</v>
      </c>
      <c r="H340" s="4">
        <v>5000</v>
      </c>
      <c r="I340">
        <v>2</v>
      </c>
      <c r="J340">
        <v>0.2</v>
      </c>
      <c r="K340">
        <v>8000</v>
      </c>
      <c r="L340">
        <v>0</v>
      </c>
      <c r="M340" t="s">
        <v>33</v>
      </c>
    </row>
    <row r="341" spans="1:13" x14ac:dyDescent="0.25">
      <c r="A341" t="s">
        <v>418</v>
      </c>
      <c r="B341">
        <f t="shared" si="5"/>
        <v>1</v>
      </c>
      <c r="C341" s="5">
        <v>46119</v>
      </c>
      <c r="D341" t="s">
        <v>31</v>
      </c>
      <c r="E341" t="s">
        <v>35</v>
      </c>
      <c r="F341" t="s">
        <v>26</v>
      </c>
      <c r="G341" t="s">
        <v>43</v>
      </c>
      <c r="H341" s="4">
        <v>65000</v>
      </c>
      <c r="I341">
        <v>1</v>
      </c>
      <c r="J341">
        <v>0.2</v>
      </c>
      <c r="K341">
        <v>52000</v>
      </c>
      <c r="L341">
        <v>1462.41</v>
      </c>
      <c r="M341" t="s">
        <v>17</v>
      </c>
    </row>
    <row r="342" spans="1:13" x14ac:dyDescent="0.25">
      <c r="A342" t="s">
        <v>155</v>
      </c>
      <c r="B342">
        <f t="shared" si="5"/>
        <v>1</v>
      </c>
      <c r="C342" s="5">
        <v>46121</v>
      </c>
      <c r="D342" t="s">
        <v>13</v>
      </c>
      <c r="E342" t="s">
        <v>35</v>
      </c>
      <c r="F342" t="s">
        <v>39</v>
      </c>
      <c r="G342" t="s">
        <v>16</v>
      </c>
      <c r="H342" s="4">
        <v>5000</v>
      </c>
      <c r="I342">
        <v>2</v>
      </c>
      <c r="J342">
        <v>0.2</v>
      </c>
      <c r="K342">
        <v>8000</v>
      </c>
      <c r="L342">
        <v>809.38</v>
      </c>
      <c r="M342" t="s">
        <v>17</v>
      </c>
    </row>
    <row r="343" spans="1:13" x14ac:dyDescent="0.25">
      <c r="A343" t="s">
        <v>52</v>
      </c>
      <c r="B343">
        <f t="shared" si="5"/>
        <v>1</v>
      </c>
      <c r="C343" s="5">
        <v>46122</v>
      </c>
      <c r="D343" t="s">
        <v>19</v>
      </c>
      <c r="E343" t="s">
        <v>20</v>
      </c>
      <c r="F343" t="s">
        <v>26</v>
      </c>
      <c r="G343" t="s">
        <v>29</v>
      </c>
      <c r="H343" s="4">
        <v>8000</v>
      </c>
      <c r="I343">
        <v>1</v>
      </c>
      <c r="J343">
        <v>0.2</v>
      </c>
      <c r="K343">
        <v>6400</v>
      </c>
      <c r="L343">
        <v>846.77</v>
      </c>
      <c r="M343" t="s">
        <v>17</v>
      </c>
    </row>
    <row r="344" spans="1:13" x14ac:dyDescent="0.25">
      <c r="A344" t="s">
        <v>120</v>
      </c>
      <c r="B344">
        <f t="shared" si="5"/>
        <v>1</v>
      </c>
      <c r="C344" s="5">
        <v>46122</v>
      </c>
      <c r="D344" t="s">
        <v>19</v>
      </c>
      <c r="E344" t="s">
        <v>38</v>
      </c>
      <c r="F344" t="s">
        <v>36</v>
      </c>
      <c r="G344" t="s">
        <v>41</v>
      </c>
      <c r="H344" s="4">
        <v>15000</v>
      </c>
      <c r="I344">
        <v>2</v>
      </c>
      <c r="J344">
        <v>0.1</v>
      </c>
      <c r="K344">
        <v>27000</v>
      </c>
      <c r="L344">
        <v>0</v>
      </c>
      <c r="M344" t="s">
        <v>33</v>
      </c>
    </row>
    <row r="345" spans="1:13" x14ac:dyDescent="0.25">
      <c r="A345" t="s">
        <v>119</v>
      </c>
      <c r="B345">
        <f t="shared" si="5"/>
        <v>1</v>
      </c>
      <c r="C345" s="5">
        <v>46123</v>
      </c>
      <c r="D345" t="s">
        <v>63</v>
      </c>
      <c r="E345" t="s">
        <v>32</v>
      </c>
      <c r="F345" t="s">
        <v>21</v>
      </c>
      <c r="G345" t="s">
        <v>43</v>
      </c>
      <c r="H345" s="4">
        <v>65000</v>
      </c>
      <c r="I345">
        <v>1</v>
      </c>
      <c r="J345">
        <v>0.05</v>
      </c>
      <c r="K345">
        <v>61750</v>
      </c>
      <c r="L345">
        <v>3281.99</v>
      </c>
      <c r="M345" t="s">
        <v>33</v>
      </c>
    </row>
    <row r="346" spans="1:13" x14ac:dyDescent="0.25">
      <c r="A346" t="s">
        <v>259</v>
      </c>
      <c r="B346">
        <f t="shared" si="5"/>
        <v>1</v>
      </c>
      <c r="C346" s="5">
        <v>46123</v>
      </c>
      <c r="D346" t="s">
        <v>19</v>
      </c>
      <c r="E346" t="s">
        <v>38</v>
      </c>
      <c r="F346" t="s">
        <v>26</v>
      </c>
      <c r="G346" t="s">
        <v>16</v>
      </c>
      <c r="H346" s="4">
        <v>5000</v>
      </c>
      <c r="I346">
        <v>2</v>
      </c>
      <c r="J346">
        <v>0</v>
      </c>
      <c r="K346">
        <v>10000</v>
      </c>
      <c r="L346">
        <v>0</v>
      </c>
      <c r="M346" t="s">
        <v>17</v>
      </c>
    </row>
    <row r="347" spans="1:13" x14ac:dyDescent="0.25">
      <c r="A347" t="s">
        <v>263</v>
      </c>
      <c r="B347">
        <f t="shared" si="5"/>
        <v>1</v>
      </c>
      <c r="C347" s="5">
        <v>46124</v>
      </c>
      <c r="D347" t="s">
        <v>13</v>
      </c>
      <c r="E347" t="s">
        <v>25</v>
      </c>
      <c r="F347" t="s">
        <v>21</v>
      </c>
      <c r="G347" t="s">
        <v>22</v>
      </c>
      <c r="H347" s="4">
        <v>35000</v>
      </c>
      <c r="I347">
        <v>1</v>
      </c>
      <c r="J347">
        <v>0</v>
      </c>
      <c r="K347">
        <v>35000</v>
      </c>
      <c r="L347">
        <v>610.28</v>
      </c>
      <c r="M347" t="s">
        <v>33</v>
      </c>
    </row>
    <row r="348" spans="1:13" x14ac:dyDescent="0.25">
      <c r="A348" t="s">
        <v>227</v>
      </c>
      <c r="B348">
        <f t="shared" si="5"/>
        <v>1</v>
      </c>
      <c r="C348" s="5">
        <v>46127</v>
      </c>
      <c r="D348" t="s">
        <v>24</v>
      </c>
      <c r="E348" t="s">
        <v>25</v>
      </c>
      <c r="F348" t="s">
        <v>15</v>
      </c>
      <c r="G348" t="s">
        <v>16</v>
      </c>
      <c r="H348" s="4">
        <v>5000</v>
      </c>
      <c r="I348">
        <v>1</v>
      </c>
      <c r="J348">
        <v>0</v>
      </c>
      <c r="K348">
        <v>5000</v>
      </c>
      <c r="L348">
        <v>1827.02</v>
      </c>
      <c r="M348" t="s">
        <v>17</v>
      </c>
    </row>
    <row r="349" spans="1:13" x14ac:dyDescent="0.25">
      <c r="A349" t="s">
        <v>185</v>
      </c>
      <c r="B349">
        <f t="shared" si="5"/>
        <v>1</v>
      </c>
      <c r="C349" s="5">
        <v>46131</v>
      </c>
      <c r="D349" t="s">
        <v>24</v>
      </c>
      <c r="E349" t="s">
        <v>38</v>
      </c>
      <c r="F349" t="s">
        <v>39</v>
      </c>
      <c r="G349" t="s">
        <v>16</v>
      </c>
      <c r="H349" s="4">
        <v>5000</v>
      </c>
      <c r="I349">
        <v>1</v>
      </c>
      <c r="J349">
        <v>0.05</v>
      </c>
      <c r="K349">
        <v>4750</v>
      </c>
      <c r="L349">
        <v>0</v>
      </c>
      <c r="M349" t="s">
        <v>17</v>
      </c>
    </row>
    <row r="350" spans="1:13" x14ac:dyDescent="0.25">
      <c r="A350" t="s">
        <v>229</v>
      </c>
      <c r="B350">
        <f t="shared" si="5"/>
        <v>1</v>
      </c>
      <c r="C350" s="5">
        <v>46131</v>
      </c>
      <c r="D350" t="s">
        <v>63</v>
      </c>
      <c r="E350" t="s">
        <v>35</v>
      </c>
      <c r="F350" t="s">
        <v>26</v>
      </c>
      <c r="G350" t="s">
        <v>29</v>
      </c>
      <c r="H350" s="4">
        <v>8000</v>
      </c>
      <c r="I350">
        <v>1</v>
      </c>
      <c r="J350">
        <v>0.05</v>
      </c>
      <c r="K350">
        <v>7600</v>
      </c>
      <c r="L350">
        <v>1282.47</v>
      </c>
      <c r="M350" t="s">
        <v>33</v>
      </c>
    </row>
    <row r="351" spans="1:13" x14ac:dyDescent="0.25">
      <c r="A351" t="s">
        <v>340</v>
      </c>
      <c r="B351">
        <f t="shared" si="5"/>
        <v>1</v>
      </c>
      <c r="C351" s="5">
        <v>46131</v>
      </c>
      <c r="D351" t="s">
        <v>13</v>
      </c>
      <c r="E351" t="s">
        <v>25</v>
      </c>
      <c r="F351" t="s">
        <v>36</v>
      </c>
      <c r="G351" t="s">
        <v>29</v>
      </c>
      <c r="H351" s="4">
        <v>8000</v>
      </c>
      <c r="I351">
        <v>1</v>
      </c>
      <c r="J351">
        <v>0</v>
      </c>
      <c r="K351">
        <v>8000</v>
      </c>
      <c r="L351">
        <v>1627.57</v>
      </c>
      <c r="M351" t="s">
        <v>17</v>
      </c>
    </row>
    <row r="352" spans="1:13" x14ac:dyDescent="0.25">
      <c r="A352" t="s">
        <v>380</v>
      </c>
      <c r="B352">
        <f t="shared" si="5"/>
        <v>1</v>
      </c>
      <c r="C352" s="5">
        <v>46131</v>
      </c>
      <c r="D352" t="s">
        <v>65</v>
      </c>
      <c r="E352" t="s">
        <v>28</v>
      </c>
      <c r="F352" t="s">
        <v>15</v>
      </c>
      <c r="G352" t="s">
        <v>41</v>
      </c>
      <c r="H352" s="4">
        <v>15000</v>
      </c>
      <c r="I352">
        <v>1</v>
      </c>
      <c r="J352">
        <v>0.05</v>
      </c>
      <c r="K352">
        <v>14250</v>
      </c>
      <c r="L352">
        <v>0</v>
      </c>
      <c r="M352" t="s">
        <v>33</v>
      </c>
    </row>
    <row r="353" spans="1:13" x14ac:dyDescent="0.25">
      <c r="A353" t="s">
        <v>489</v>
      </c>
      <c r="B353">
        <f t="shared" si="5"/>
        <v>1</v>
      </c>
      <c r="C353" s="5">
        <v>46133</v>
      </c>
      <c r="D353" t="s">
        <v>19</v>
      </c>
      <c r="E353" t="s">
        <v>25</v>
      </c>
      <c r="F353" t="s">
        <v>26</v>
      </c>
      <c r="G353" t="s">
        <v>29</v>
      </c>
      <c r="H353" s="4">
        <v>8000</v>
      </c>
      <c r="I353">
        <v>1</v>
      </c>
      <c r="J353">
        <v>0.15</v>
      </c>
      <c r="K353">
        <v>6800</v>
      </c>
      <c r="L353">
        <v>2847.44</v>
      </c>
      <c r="M353" t="s">
        <v>33</v>
      </c>
    </row>
    <row r="354" spans="1:13" x14ac:dyDescent="0.25">
      <c r="A354" t="s">
        <v>150</v>
      </c>
      <c r="B354">
        <f t="shared" si="5"/>
        <v>1</v>
      </c>
      <c r="C354" s="5">
        <v>46134</v>
      </c>
      <c r="D354" t="s">
        <v>13</v>
      </c>
      <c r="E354" t="s">
        <v>20</v>
      </c>
      <c r="F354" t="s">
        <v>39</v>
      </c>
      <c r="G354" t="s">
        <v>41</v>
      </c>
      <c r="H354" s="4">
        <v>15000</v>
      </c>
      <c r="I354">
        <v>1</v>
      </c>
      <c r="J354">
        <v>0.15</v>
      </c>
      <c r="K354">
        <v>12750</v>
      </c>
      <c r="L354">
        <v>1956.41</v>
      </c>
      <c r="M354" t="s">
        <v>17</v>
      </c>
    </row>
    <row r="355" spans="1:13" x14ac:dyDescent="0.25">
      <c r="A355" t="s">
        <v>85</v>
      </c>
      <c r="B355">
        <f t="shared" si="5"/>
        <v>1</v>
      </c>
      <c r="C355" s="5">
        <v>46137</v>
      </c>
      <c r="D355" t="s">
        <v>19</v>
      </c>
      <c r="E355" t="s">
        <v>35</v>
      </c>
      <c r="F355" t="s">
        <v>49</v>
      </c>
      <c r="G355" t="s">
        <v>29</v>
      </c>
      <c r="H355" s="4">
        <v>8000</v>
      </c>
      <c r="I355">
        <v>2</v>
      </c>
      <c r="J355">
        <v>0.2</v>
      </c>
      <c r="K355">
        <v>12800</v>
      </c>
      <c r="L355">
        <v>262.8</v>
      </c>
      <c r="M355" t="s">
        <v>33</v>
      </c>
    </row>
    <row r="356" spans="1:13" x14ac:dyDescent="0.25">
      <c r="A356" t="s">
        <v>218</v>
      </c>
      <c r="B356">
        <f t="shared" si="5"/>
        <v>1</v>
      </c>
      <c r="C356" s="5">
        <v>46137</v>
      </c>
      <c r="D356" t="s">
        <v>13</v>
      </c>
      <c r="E356" t="s">
        <v>20</v>
      </c>
      <c r="F356" t="s">
        <v>15</v>
      </c>
      <c r="G356" t="s">
        <v>22</v>
      </c>
      <c r="H356" s="4">
        <v>35000</v>
      </c>
      <c r="I356">
        <v>2</v>
      </c>
      <c r="J356">
        <v>0.15</v>
      </c>
      <c r="K356">
        <v>59500</v>
      </c>
      <c r="L356">
        <v>366.32</v>
      </c>
      <c r="M356" t="s">
        <v>33</v>
      </c>
    </row>
    <row r="357" spans="1:13" x14ac:dyDescent="0.25">
      <c r="A357" t="s">
        <v>483</v>
      </c>
      <c r="B357">
        <f t="shared" si="5"/>
        <v>1</v>
      </c>
      <c r="C357" s="5">
        <v>46137</v>
      </c>
      <c r="D357" t="s">
        <v>13</v>
      </c>
      <c r="E357" t="s">
        <v>32</v>
      </c>
      <c r="F357" t="s">
        <v>15</v>
      </c>
      <c r="G357" t="s">
        <v>22</v>
      </c>
      <c r="H357" s="4">
        <v>35000</v>
      </c>
      <c r="I357">
        <v>1</v>
      </c>
      <c r="J357">
        <v>0.2</v>
      </c>
      <c r="K357">
        <v>28000</v>
      </c>
      <c r="L357">
        <v>3456.04</v>
      </c>
      <c r="M357" t="s">
        <v>17</v>
      </c>
    </row>
    <row r="358" spans="1:13" x14ac:dyDescent="0.25">
      <c r="A358" t="s">
        <v>312</v>
      </c>
      <c r="B358">
        <f t="shared" si="5"/>
        <v>1</v>
      </c>
      <c r="C358" s="5">
        <v>46138</v>
      </c>
      <c r="D358" t="s">
        <v>24</v>
      </c>
      <c r="E358" t="s">
        <v>35</v>
      </c>
      <c r="F358" t="s">
        <v>15</v>
      </c>
      <c r="G358" t="s">
        <v>43</v>
      </c>
      <c r="H358" s="4">
        <v>65000</v>
      </c>
      <c r="I358">
        <v>2</v>
      </c>
      <c r="J358">
        <v>0.2</v>
      </c>
      <c r="K358">
        <v>104000</v>
      </c>
      <c r="L358">
        <v>2484.86</v>
      </c>
      <c r="M358" t="s">
        <v>17</v>
      </c>
    </row>
    <row r="359" spans="1:13" x14ac:dyDescent="0.25">
      <c r="A359" t="s">
        <v>121</v>
      </c>
      <c r="B359">
        <f t="shared" si="5"/>
        <v>1</v>
      </c>
      <c r="C359" s="5">
        <v>46139</v>
      </c>
      <c r="D359" t="s">
        <v>19</v>
      </c>
      <c r="E359" t="s">
        <v>35</v>
      </c>
      <c r="F359" t="s">
        <v>39</v>
      </c>
      <c r="G359" t="s">
        <v>16</v>
      </c>
      <c r="H359" s="4">
        <v>5000</v>
      </c>
      <c r="I359">
        <v>2</v>
      </c>
      <c r="J359">
        <v>0</v>
      </c>
      <c r="K359">
        <v>10000</v>
      </c>
      <c r="L359">
        <v>2769.09</v>
      </c>
      <c r="M359" t="s">
        <v>17</v>
      </c>
    </row>
    <row r="360" spans="1:13" x14ac:dyDescent="0.25">
      <c r="A360" t="s">
        <v>349</v>
      </c>
      <c r="B360">
        <f t="shared" si="5"/>
        <v>1</v>
      </c>
      <c r="C360" s="5">
        <v>46140</v>
      </c>
      <c r="D360" t="s">
        <v>24</v>
      </c>
      <c r="E360" t="s">
        <v>28</v>
      </c>
      <c r="F360" t="s">
        <v>21</v>
      </c>
      <c r="G360" t="s">
        <v>41</v>
      </c>
      <c r="H360" s="4">
        <v>15000</v>
      </c>
      <c r="I360">
        <v>1</v>
      </c>
      <c r="J360">
        <v>0.15</v>
      </c>
      <c r="K360">
        <v>12750</v>
      </c>
      <c r="L360">
        <v>0</v>
      </c>
      <c r="M360" t="s">
        <v>33</v>
      </c>
    </row>
    <row r="361" spans="1:13" x14ac:dyDescent="0.25">
      <c r="A361" t="s">
        <v>384</v>
      </c>
      <c r="B361">
        <f t="shared" si="5"/>
        <v>1</v>
      </c>
      <c r="C361" s="5">
        <v>46141</v>
      </c>
      <c r="D361" t="s">
        <v>19</v>
      </c>
      <c r="E361" t="s">
        <v>25</v>
      </c>
      <c r="F361" t="s">
        <v>39</v>
      </c>
      <c r="G361" t="s">
        <v>41</v>
      </c>
      <c r="H361" s="4">
        <v>15000</v>
      </c>
      <c r="I361">
        <v>2</v>
      </c>
      <c r="J361">
        <v>0.05</v>
      </c>
      <c r="K361">
        <v>28500</v>
      </c>
      <c r="L361">
        <v>2425.41</v>
      </c>
      <c r="M361" t="s">
        <v>33</v>
      </c>
    </row>
    <row r="362" spans="1:13" x14ac:dyDescent="0.25">
      <c r="A362" t="s">
        <v>407</v>
      </c>
      <c r="B362">
        <f t="shared" si="5"/>
        <v>1</v>
      </c>
      <c r="C362" s="5">
        <v>46141</v>
      </c>
      <c r="D362" t="s">
        <v>65</v>
      </c>
      <c r="E362" t="s">
        <v>38</v>
      </c>
      <c r="F362" t="s">
        <v>39</v>
      </c>
      <c r="G362" t="s">
        <v>22</v>
      </c>
      <c r="H362" s="4">
        <v>35000</v>
      </c>
      <c r="I362">
        <v>3</v>
      </c>
      <c r="J362">
        <v>0.15</v>
      </c>
      <c r="K362">
        <v>89250</v>
      </c>
      <c r="L362">
        <v>0</v>
      </c>
      <c r="M362" t="s">
        <v>17</v>
      </c>
    </row>
    <row r="363" spans="1:13" x14ac:dyDescent="0.25">
      <c r="A363" t="s">
        <v>129</v>
      </c>
      <c r="B363">
        <f t="shared" si="5"/>
        <v>1</v>
      </c>
      <c r="C363" s="5">
        <v>46143</v>
      </c>
      <c r="D363" t="s">
        <v>13</v>
      </c>
      <c r="E363" t="s">
        <v>38</v>
      </c>
      <c r="F363" t="s">
        <v>26</v>
      </c>
      <c r="G363" t="s">
        <v>41</v>
      </c>
      <c r="H363" s="4">
        <v>15000</v>
      </c>
      <c r="I363">
        <v>2</v>
      </c>
      <c r="J363">
        <v>0</v>
      </c>
      <c r="K363">
        <v>30000</v>
      </c>
      <c r="L363">
        <v>0</v>
      </c>
      <c r="M363" t="s">
        <v>33</v>
      </c>
    </row>
    <row r="364" spans="1:13" x14ac:dyDescent="0.25">
      <c r="A364" t="s">
        <v>181</v>
      </c>
      <c r="B364">
        <f t="shared" si="5"/>
        <v>1</v>
      </c>
      <c r="C364" s="5">
        <v>46144</v>
      </c>
      <c r="D364" t="s">
        <v>13</v>
      </c>
      <c r="E364" t="s">
        <v>38</v>
      </c>
      <c r="F364" t="s">
        <v>15</v>
      </c>
      <c r="G364" t="s">
        <v>43</v>
      </c>
      <c r="H364" s="4">
        <v>65000</v>
      </c>
      <c r="I364">
        <v>1</v>
      </c>
      <c r="J364">
        <v>0</v>
      </c>
      <c r="K364">
        <v>65000</v>
      </c>
      <c r="L364">
        <v>0</v>
      </c>
      <c r="M364" t="s">
        <v>33</v>
      </c>
    </row>
    <row r="365" spans="1:13" x14ac:dyDescent="0.25">
      <c r="A365" t="s">
        <v>462</v>
      </c>
      <c r="B365">
        <f t="shared" si="5"/>
        <v>1</v>
      </c>
      <c r="C365" s="5">
        <v>46144</v>
      </c>
      <c r="D365" t="s">
        <v>19</v>
      </c>
      <c r="E365" t="s">
        <v>25</v>
      </c>
      <c r="F365" t="s">
        <v>15</v>
      </c>
      <c r="G365" t="s">
        <v>43</v>
      </c>
      <c r="H365" s="4">
        <v>65000</v>
      </c>
      <c r="I365">
        <v>2</v>
      </c>
      <c r="J365">
        <v>0</v>
      </c>
      <c r="K365">
        <v>130000</v>
      </c>
      <c r="L365">
        <v>2747.01</v>
      </c>
      <c r="M365" t="s">
        <v>33</v>
      </c>
    </row>
    <row r="366" spans="1:13" x14ac:dyDescent="0.25">
      <c r="A366" t="s">
        <v>266</v>
      </c>
      <c r="B366">
        <f t="shared" si="5"/>
        <v>1</v>
      </c>
      <c r="C366" s="5">
        <v>46145</v>
      </c>
      <c r="D366" t="s">
        <v>31</v>
      </c>
      <c r="E366" t="s">
        <v>32</v>
      </c>
      <c r="F366" t="s">
        <v>21</v>
      </c>
      <c r="G366" t="s">
        <v>41</v>
      </c>
      <c r="H366" s="4">
        <v>15000</v>
      </c>
      <c r="I366">
        <v>2</v>
      </c>
      <c r="J366">
        <v>0</v>
      </c>
      <c r="K366">
        <v>30000</v>
      </c>
      <c r="L366">
        <v>499.21</v>
      </c>
      <c r="M366" t="s">
        <v>33</v>
      </c>
    </row>
    <row r="367" spans="1:13" x14ac:dyDescent="0.25">
      <c r="A367" t="s">
        <v>466</v>
      </c>
      <c r="B367">
        <f t="shared" si="5"/>
        <v>1</v>
      </c>
      <c r="C367" s="5">
        <v>46148</v>
      </c>
      <c r="D367" t="s">
        <v>19</v>
      </c>
      <c r="E367" t="s">
        <v>32</v>
      </c>
      <c r="F367" t="s">
        <v>15</v>
      </c>
      <c r="G367" t="s">
        <v>16</v>
      </c>
      <c r="H367" s="4">
        <v>5000</v>
      </c>
      <c r="I367">
        <v>2</v>
      </c>
      <c r="J367">
        <v>0</v>
      </c>
      <c r="K367">
        <v>10000</v>
      </c>
      <c r="L367">
        <v>1792.62</v>
      </c>
      <c r="M367" t="s">
        <v>33</v>
      </c>
    </row>
    <row r="368" spans="1:13" x14ac:dyDescent="0.25">
      <c r="A368" t="s">
        <v>297</v>
      </c>
      <c r="B368">
        <f t="shared" si="5"/>
        <v>1</v>
      </c>
      <c r="C368" s="5">
        <v>46151</v>
      </c>
      <c r="D368" t="s">
        <v>13</v>
      </c>
      <c r="E368" t="s">
        <v>14</v>
      </c>
      <c r="F368" t="s">
        <v>26</v>
      </c>
      <c r="G368" t="s">
        <v>43</v>
      </c>
      <c r="H368" s="4">
        <v>65000</v>
      </c>
      <c r="I368">
        <v>2</v>
      </c>
      <c r="J368">
        <v>0</v>
      </c>
      <c r="K368">
        <v>130000</v>
      </c>
      <c r="L368">
        <v>0</v>
      </c>
      <c r="M368" t="s">
        <v>33</v>
      </c>
    </row>
    <row r="369" spans="1:13" x14ac:dyDescent="0.25">
      <c r="A369" t="s">
        <v>395</v>
      </c>
      <c r="B369">
        <f t="shared" si="5"/>
        <v>1</v>
      </c>
      <c r="C369" s="5">
        <v>46151</v>
      </c>
      <c r="D369" t="s">
        <v>19</v>
      </c>
      <c r="E369" t="s">
        <v>25</v>
      </c>
      <c r="F369" t="s">
        <v>26</v>
      </c>
      <c r="G369" t="s">
        <v>43</v>
      </c>
      <c r="H369" s="4">
        <v>65000</v>
      </c>
      <c r="I369">
        <v>1</v>
      </c>
      <c r="J369">
        <v>0.05</v>
      </c>
      <c r="K369">
        <v>61750</v>
      </c>
      <c r="L369">
        <v>1034.71</v>
      </c>
      <c r="M369" t="s">
        <v>33</v>
      </c>
    </row>
    <row r="370" spans="1:13" x14ac:dyDescent="0.25">
      <c r="A370" t="s">
        <v>136</v>
      </c>
      <c r="B370">
        <f t="shared" si="5"/>
        <v>1</v>
      </c>
      <c r="C370" s="5">
        <v>46152</v>
      </c>
      <c r="D370" t="s">
        <v>24</v>
      </c>
      <c r="E370" t="s">
        <v>35</v>
      </c>
      <c r="F370" t="s">
        <v>15</v>
      </c>
      <c r="G370" t="s">
        <v>43</v>
      </c>
      <c r="H370" s="4">
        <v>65000</v>
      </c>
      <c r="I370">
        <v>3</v>
      </c>
      <c r="J370">
        <v>0.15</v>
      </c>
      <c r="K370">
        <v>165750</v>
      </c>
      <c r="L370">
        <v>3232.94</v>
      </c>
      <c r="M370" t="s">
        <v>33</v>
      </c>
    </row>
    <row r="371" spans="1:13" x14ac:dyDescent="0.25">
      <c r="A371" t="s">
        <v>183</v>
      </c>
      <c r="B371">
        <f t="shared" si="5"/>
        <v>1</v>
      </c>
      <c r="C371" s="5">
        <v>46152</v>
      </c>
      <c r="D371" t="s">
        <v>19</v>
      </c>
      <c r="E371" t="s">
        <v>20</v>
      </c>
      <c r="F371" t="s">
        <v>49</v>
      </c>
      <c r="G371" t="s">
        <v>29</v>
      </c>
      <c r="H371" s="4">
        <v>8000</v>
      </c>
      <c r="I371">
        <v>1</v>
      </c>
      <c r="J371">
        <v>0.15</v>
      </c>
      <c r="K371">
        <v>6800</v>
      </c>
      <c r="L371">
        <v>288.64</v>
      </c>
      <c r="M371" t="s">
        <v>33</v>
      </c>
    </row>
    <row r="372" spans="1:13" x14ac:dyDescent="0.25">
      <c r="A372" t="s">
        <v>444</v>
      </c>
      <c r="B372">
        <f t="shared" si="5"/>
        <v>1</v>
      </c>
      <c r="C372" s="5">
        <v>46154</v>
      </c>
      <c r="D372" t="s">
        <v>13</v>
      </c>
      <c r="E372" t="s">
        <v>20</v>
      </c>
      <c r="F372" t="s">
        <v>49</v>
      </c>
      <c r="G372" t="s">
        <v>43</v>
      </c>
      <c r="H372" s="4">
        <v>65000</v>
      </c>
      <c r="I372">
        <v>1</v>
      </c>
      <c r="J372">
        <v>0</v>
      </c>
      <c r="K372">
        <v>65000</v>
      </c>
      <c r="L372">
        <v>903.76</v>
      </c>
      <c r="M372" t="s">
        <v>33</v>
      </c>
    </row>
    <row r="373" spans="1:13" x14ac:dyDescent="0.25">
      <c r="A373" t="s">
        <v>40</v>
      </c>
      <c r="B373">
        <f t="shared" si="5"/>
        <v>1</v>
      </c>
      <c r="C373" s="5">
        <v>46157</v>
      </c>
      <c r="D373" t="s">
        <v>31</v>
      </c>
      <c r="E373" t="s">
        <v>14</v>
      </c>
      <c r="F373" t="s">
        <v>26</v>
      </c>
      <c r="G373" t="s">
        <v>41</v>
      </c>
      <c r="H373" s="4">
        <v>15000</v>
      </c>
      <c r="I373">
        <v>1</v>
      </c>
      <c r="J373">
        <v>0</v>
      </c>
      <c r="K373">
        <v>15000</v>
      </c>
      <c r="L373">
        <v>0</v>
      </c>
      <c r="M373" t="s">
        <v>17</v>
      </c>
    </row>
    <row r="374" spans="1:13" x14ac:dyDescent="0.25">
      <c r="A374" t="s">
        <v>201</v>
      </c>
      <c r="B374">
        <f t="shared" si="5"/>
        <v>1</v>
      </c>
      <c r="C374" s="5">
        <v>46157</v>
      </c>
      <c r="D374" t="s">
        <v>13</v>
      </c>
      <c r="E374" t="s">
        <v>32</v>
      </c>
      <c r="F374" t="s">
        <v>15</v>
      </c>
      <c r="G374" t="s">
        <v>16</v>
      </c>
      <c r="H374" s="4">
        <v>5000</v>
      </c>
      <c r="I374">
        <v>3</v>
      </c>
      <c r="J374">
        <v>0</v>
      </c>
      <c r="K374">
        <v>15000</v>
      </c>
      <c r="L374">
        <v>2199.29</v>
      </c>
      <c r="M374" t="s">
        <v>33</v>
      </c>
    </row>
    <row r="375" spans="1:13" x14ac:dyDescent="0.25">
      <c r="A375" t="s">
        <v>477</v>
      </c>
      <c r="B375">
        <f t="shared" si="5"/>
        <v>1</v>
      </c>
      <c r="C375" s="5">
        <v>46157</v>
      </c>
      <c r="D375" t="s">
        <v>13</v>
      </c>
      <c r="E375" t="s">
        <v>25</v>
      </c>
      <c r="F375" t="s">
        <v>26</v>
      </c>
      <c r="G375" t="s">
        <v>41</v>
      </c>
      <c r="H375" s="4">
        <v>15000</v>
      </c>
      <c r="I375">
        <v>1</v>
      </c>
      <c r="J375">
        <v>0.2</v>
      </c>
      <c r="K375">
        <v>12000</v>
      </c>
      <c r="L375">
        <v>1761</v>
      </c>
      <c r="M375" t="s">
        <v>33</v>
      </c>
    </row>
    <row r="376" spans="1:13" x14ac:dyDescent="0.25">
      <c r="A376" t="s">
        <v>215</v>
      </c>
      <c r="B376">
        <f t="shared" si="5"/>
        <v>1</v>
      </c>
      <c r="C376" s="5">
        <v>46158</v>
      </c>
      <c r="D376" t="s">
        <v>65</v>
      </c>
      <c r="E376" t="s">
        <v>35</v>
      </c>
      <c r="F376" t="s">
        <v>15</v>
      </c>
      <c r="G376" t="s">
        <v>41</v>
      </c>
      <c r="H376" s="4">
        <v>15000</v>
      </c>
      <c r="I376">
        <v>1</v>
      </c>
      <c r="J376">
        <v>0</v>
      </c>
      <c r="K376">
        <v>15000</v>
      </c>
      <c r="L376">
        <v>3427.1</v>
      </c>
      <c r="M376" t="s">
        <v>17</v>
      </c>
    </row>
    <row r="377" spans="1:13" x14ac:dyDescent="0.25">
      <c r="A377" t="s">
        <v>122</v>
      </c>
      <c r="B377">
        <f t="shared" si="5"/>
        <v>1</v>
      </c>
      <c r="C377" s="5">
        <v>46159</v>
      </c>
      <c r="D377" t="s">
        <v>31</v>
      </c>
      <c r="E377" t="s">
        <v>28</v>
      </c>
      <c r="F377" t="s">
        <v>26</v>
      </c>
      <c r="G377" t="s">
        <v>43</v>
      </c>
      <c r="H377" s="4">
        <v>65000</v>
      </c>
      <c r="I377">
        <v>1</v>
      </c>
      <c r="J377">
        <v>0.15</v>
      </c>
      <c r="K377">
        <v>55250</v>
      </c>
      <c r="L377">
        <v>0</v>
      </c>
      <c r="M377" t="s">
        <v>17</v>
      </c>
    </row>
    <row r="378" spans="1:13" x14ac:dyDescent="0.25">
      <c r="A378" t="s">
        <v>157</v>
      </c>
      <c r="B378">
        <f t="shared" si="5"/>
        <v>1</v>
      </c>
      <c r="C378" s="5">
        <v>46162</v>
      </c>
      <c r="D378" t="s">
        <v>19</v>
      </c>
      <c r="E378" t="s">
        <v>35</v>
      </c>
      <c r="F378" t="s">
        <v>49</v>
      </c>
      <c r="G378" t="s">
        <v>43</v>
      </c>
      <c r="H378" s="4">
        <v>65000</v>
      </c>
      <c r="I378">
        <v>1</v>
      </c>
      <c r="J378">
        <v>0.2</v>
      </c>
      <c r="K378">
        <v>52000</v>
      </c>
      <c r="L378">
        <v>3341.65</v>
      </c>
      <c r="M378" t="s">
        <v>17</v>
      </c>
    </row>
    <row r="379" spans="1:13" x14ac:dyDescent="0.25">
      <c r="A379" t="s">
        <v>212</v>
      </c>
      <c r="B379">
        <f t="shared" si="5"/>
        <v>1</v>
      </c>
      <c r="C379" s="5">
        <v>46163</v>
      </c>
      <c r="D379" t="s">
        <v>19</v>
      </c>
      <c r="E379" t="s">
        <v>14</v>
      </c>
      <c r="F379" t="s">
        <v>15</v>
      </c>
      <c r="G379" t="s">
        <v>16</v>
      </c>
      <c r="H379" s="4">
        <v>5000</v>
      </c>
      <c r="I379">
        <v>2</v>
      </c>
      <c r="J379">
        <v>0.2</v>
      </c>
      <c r="K379">
        <v>8000</v>
      </c>
      <c r="L379">
        <v>0</v>
      </c>
      <c r="M379" t="s">
        <v>17</v>
      </c>
    </row>
    <row r="380" spans="1:13" x14ac:dyDescent="0.25">
      <c r="A380" t="s">
        <v>232</v>
      </c>
      <c r="B380">
        <f t="shared" si="5"/>
        <v>1</v>
      </c>
      <c r="C380" s="5">
        <v>46163</v>
      </c>
      <c r="D380" t="s">
        <v>13</v>
      </c>
      <c r="E380" t="s">
        <v>14</v>
      </c>
      <c r="F380" t="s">
        <v>15</v>
      </c>
      <c r="G380" t="s">
        <v>29</v>
      </c>
      <c r="H380" s="4">
        <v>8000</v>
      </c>
      <c r="I380">
        <v>2</v>
      </c>
      <c r="J380">
        <v>0</v>
      </c>
      <c r="K380">
        <v>16000</v>
      </c>
      <c r="L380">
        <v>0</v>
      </c>
      <c r="M380" t="s">
        <v>17</v>
      </c>
    </row>
    <row r="381" spans="1:13" x14ac:dyDescent="0.25">
      <c r="A381" t="s">
        <v>255</v>
      </c>
      <c r="B381">
        <f t="shared" si="5"/>
        <v>1</v>
      </c>
      <c r="C381" s="5">
        <v>46163</v>
      </c>
      <c r="D381" t="s">
        <v>24</v>
      </c>
      <c r="E381" t="s">
        <v>32</v>
      </c>
      <c r="F381" t="s">
        <v>36</v>
      </c>
      <c r="G381" t="s">
        <v>29</v>
      </c>
      <c r="H381" s="4">
        <v>8000</v>
      </c>
      <c r="I381">
        <v>2</v>
      </c>
      <c r="J381">
        <v>0.2</v>
      </c>
      <c r="K381">
        <v>12800</v>
      </c>
      <c r="L381">
        <v>1071.42</v>
      </c>
      <c r="M381" t="s">
        <v>17</v>
      </c>
    </row>
    <row r="382" spans="1:13" x14ac:dyDescent="0.25">
      <c r="A382" t="s">
        <v>386</v>
      </c>
      <c r="B382">
        <f t="shared" si="5"/>
        <v>1</v>
      </c>
      <c r="C382" s="5">
        <v>46164</v>
      </c>
      <c r="D382" t="s">
        <v>19</v>
      </c>
      <c r="E382" t="s">
        <v>35</v>
      </c>
      <c r="F382" t="s">
        <v>39</v>
      </c>
      <c r="G382" t="s">
        <v>16</v>
      </c>
      <c r="H382" s="4">
        <v>5000</v>
      </c>
      <c r="I382">
        <v>1</v>
      </c>
      <c r="J382">
        <v>0</v>
      </c>
      <c r="K382">
        <v>5000</v>
      </c>
      <c r="L382">
        <v>1090.3</v>
      </c>
      <c r="M382" t="s">
        <v>17</v>
      </c>
    </row>
    <row r="383" spans="1:13" x14ac:dyDescent="0.25">
      <c r="A383" t="s">
        <v>267</v>
      </c>
      <c r="B383">
        <f t="shared" si="5"/>
        <v>1</v>
      </c>
      <c r="C383" s="5">
        <v>46166</v>
      </c>
      <c r="D383" t="s">
        <v>24</v>
      </c>
      <c r="E383" t="s">
        <v>32</v>
      </c>
      <c r="F383" t="s">
        <v>49</v>
      </c>
      <c r="G383" t="s">
        <v>41</v>
      </c>
      <c r="H383" s="4">
        <v>15000</v>
      </c>
      <c r="I383">
        <v>3</v>
      </c>
      <c r="J383">
        <v>0</v>
      </c>
      <c r="K383">
        <v>45000</v>
      </c>
      <c r="L383">
        <v>2912.13</v>
      </c>
      <c r="M383" t="s">
        <v>17</v>
      </c>
    </row>
    <row r="384" spans="1:13" x14ac:dyDescent="0.25">
      <c r="A384" t="s">
        <v>73</v>
      </c>
      <c r="B384">
        <f t="shared" si="5"/>
        <v>1</v>
      </c>
      <c r="C384" s="5">
        <v>46168</v>
      </c>
      <c r="D384" t="s">
        <v>13</v>
      </c>
      <c r="E384" t="s">
        <v>20</v>
      </c>
      <c r="F384" t="s">
        <v>26</v>
      </c>
      <c r="G384" t="s">
        <v>41</v>
      </c>
      <c r="H384" s="4">
        <v>15000</v>
      </c>
      <c r="I384">
        <v>1</v>
      </c>
      <c r="J384">
        <v>0.1</v>
      </c>
      <c r="K384">
        <v>13500</v>
      </c>
      <c r="L384">
        <v>1200.1400000000001</v>
      </c>
      <c r="M384" t="s">
        <v>33</v>
      </c>
    </row>
    <row r="385" spans="1:13" x14ac:dyDescent="0.25">
      <c r="A385" t="s">
        <v>140</v>
      </c>
      <c r="B385">
        <f t="shared" si="5"/>
        <v>1</v>
      </c>
      <c r="C385" s="5">
        <v>46169</v>
      </c>
      <c r="D385" t="s">
        <v>31</v>
      </c>
      <c r="E385" t="s">
        <v>35</v>
      </c>
      <c r="F385" t="s">
        <v>39</v>
      </c>
      <c r="G385" t="s">
        <v>29</v>
      </c>
      <c r="H385" s="4">
        <v>8000</v>
      </c>
      <c r="I385">
        <v>2</v>
      </c>
      <c r="J385">
        <v>0</v>
      </c>
      <c r="K385">
        <v>16000</v>
      </c>
      <c r="L385">
        <v>2514.5100000000002</v>
      </c>
      <c r="M385" t="s">
        <v>33</v>
      </c>
    </row>
    <row r="386" spans="1:13" x14ac:dyDescent="0.25">
      <c r="A386" t="s">
        <v>178</v>
      </c>
      <c r="B386">
        <f t="shared" ref="B386:B449" si="6">COUNTIF($A:$A,A386)</f>
        <v>1</v>
      </c>
      <c r="C386" s="5">
        <v>46169</v>
      </c>
      <c r="D386" t="s">
        <v>65</v>
      </c>
      <c r="E386" t="s">
        <v>20</v>
      </c>
      <c r="F386" t="s">
        <v>26</v>
      </c>
      <c r="G386" t="s">
        <v>22</v>
      </c>
      <c r="H386" s="4">
        <v>35000</v>
      </c>
      <c r="I386">
        <v>1</v>
      </c>
      <c r="J386">
        <v>0</v>
      </c>
      <c r="K386">
        <v>35000</v>
      </c>
      <c r="L386">
        <v>3327.37</v>
      </c>
      <c r="M386" t="s">
        <v>17</v>
      </c>
    </row>
    <row r="387" spans="1:13" x14ac:dyDescent="0.25">
      <c r="A387" t="s">
        <v>96</v>
      </c>
      <c r="B387">
        <f t="shared" si="6"/>
        <v>1</v>
      </c>
      <c r="C387" s="5">
        <v>46170</v>
      </c>
      <c r="D387" t="s">
        <v>13</v>
      </c>
      <c r="E387" t="s">
        <v>25</v>
      </c>
      <c r="F387" t="s">
        <v>26</v>
      </c>
      <c r="G387" t="s">
        <v>29</v>
      </c>
      <c r="H387" s="4">
        <v>8000</v>
      </c>
      <c r="I387">
        <v>2</v>
      </c>
      <c r="J387">
        <v>0.05</v>
      </c>
      <c r="K387">
        <v>15200</v>
      </c>
      <c r="L387">
        <v>1941.48</v>
      </c>
      <c r="M387" t="s">
        <v>33</v>
      </c>
    </row>
    <row r="388" spans="1:13" x14ac:dyDescent="0.25">
      <c r="A388" t="s">
        <v>391</v>
      </c>
      <c r="B388">
        <f t="shared" si="6"/>
        <v>1</v>
      </c>
      <c r="C388" s="5">
        <v>46173</v>
      </c>
      <c r="D388" t="s">
        <v>19</v>
      </c>
      <c r="E388" t="s">
        <v>20</v>
      </c>
      <c r="F388" t="s">
        <v>15</v>
      </c>
      <c r="G388" t="s">
        <v>43</v>
      </c>
      <c r="H388" s="4">
        <v>65000</v>
      </c>
      <c r="I388">
        <v>1</v>
      </c>
      <c r="J388">
        <v>0</v>
      </c>
      <c r="K388">
        <v>65000</v>
      </c>
      <c r="L388">
        <v>3194.11</v>
      </c>
      <c r="M388" t="s">
        <v>17</v>
      </c>
    </row>
    <row r="389" spans="1:13" x14ac:dyDescent="0.25">
      <c r="A389" t="s">
        <v>450</v>
      </c>
      <c r="B389">
        <f t="shared" si="6"/>
        <v>1</v>
      </c>
      <c r="C389" s="5">
        <v>46173</v>
      </c>
      <c r="D389" t="s">
        <v>19</v>
      </c>
      <c r="E389" t="s">
        <v>35</v>
      </c>
      <c r="F389" t="s">
        <v>26</v>
      </c>
      <c r="G389" t="s">
        <v>16</v>
      </c>
      <c r="H389" s="4">
        <v>5000</v>
      </c>
      <c r="I389">
        <v>1</v>
      </c>
      <c r="J389">
        <v>0</v>
      </c>
      <c r="K389">
        <v>5000</v>
      </c>
      <c r="L389">
        <v>2038.5</v>
      </c>
      <c r="M389" t="s">
        <v>33</v>
      </c>
    </row>
    <row r="390" spans="1:13" x14ac:dyDescent="0.25">
      <c r="A390" t="s">
        <v>452</v>
      </c>
      <c r="B390">
        <f t="shared" si="6"/>
        <v>1</v>
      </c>
      <c r="C390" s="5">
        <v>46173</v>
      </c>
      <c r="D390" t="s">
        <v>19</v>
      </c>
      <c r="E390" t="s">
        <v>35</v>
      </c>
      <c r="F390" t="s">
        <v>15</v>
      </c>
      <c r="G390" t="s">
        <v>22</v>
      </c>
      <c r="H390" s="4">
        <v>35000</v>
      </c>
      <c r="I390">
        <v>3</v>
      </c>
      <c r="J390">
        <v>0</v>
      </c>
      <c r="K390">
        <v>105000</v>
      </c>
      <c r="L390">
        <v>2851.51</v>
      </c>
      <c r="M390" t="s">
        <v>33</v>
      </c>
    </row>
    <row r="391" spans="1:13" x14ac:dyDescent="0.25">
      <c r="A391" t="s">
        <v>217</v>
      </c>
      <c r="B391">
        <f t="shared" si="6"/>
        <v>1</v>
      </c>
      <c r="C391" s="5">
        <v>46174</v>
      </c>
      <c r="D391" t="s">
        <v>13</v>
      </c>
      <c r="E391" t="s">
        <v>38</v>
      </c>
      <c r="F391" t="s">
        <v>26</v>
      </c>
      <c r="G391" t="s">
        <v>22</v>
      </c>
      <c r="H391" s="4">
        <v>35000</v>
      </c>
      <c r="I391">
        <v>3</v>
      </c>
      <c r="J391">
        <v>0.05</v>
      </c>
      <c r="K391">
        <v>99750</v>
      </c>
      <c r="L391">
        <v>0</v>
      </c>
      <c r="M391" t="s">
        <v>17</v>
      </c>
    </row>
    <row r="392" spans="1:13" x14ac:dyDescent="0.25">
      <c r="A392" t="s">
        <v>274</v>
      </c>
      <c r="B392">
        <f t="shared" si="6"/>
        <v>1</v>
      </c>
      <c r="C392" s="5">
        <v>46175</v>
      </c>
      <c r="D392" t="s">
        <v>24</v>
      </c>
      <c r="E392" t="s">
        <v>20</v>
      </c>
      <c r="F392" t="s">
        <v>39</v>
      </c>
      <c r="G392" t="s">
        <v>29</v>
      </c>
      <c r="H392" s="4">
        <v>8000</v>
      </c>
      <c r="I392">
        <v>3</v>
      </c>
      <c r="J392">
        <v>0</v>
      </c>
      <c r="K392">
        <v>24000</v>
      </c>
      <c r="L392">
        <v>448.69</v>
      </c>
      <c r="M392" t="s">
        <v>17</v>
      </c>
    </row>
    <row r="393" spans="1:13" x14ac:dyDescent="0.25">
      <c r="A393" t="s">
        <v>309</v>
      </c>
      <c r="B393">
        <f t="shared" si="6"/>
        <v>1</v>
      </c>
      <c r="C393" s="5">
        <v>46179</v>
      </c>
      <c r="D393" t="s">
        <v>65</v>
      </c>
      <c r="E393" t="s">
        <v>35</v>
      </c>
      <c r="F393" t="s">
        <v>39</v>
      </c>
      <c r="G393" t="s">
        <v>22</v>
      </c>
      <c r="H393" s="4">
        <v>35000</v>
      </c>
      <c r="I393">
        <v>3</v>
      </c>
      <c r="J393">
        <v>0</v>
      </c>
      <c r="K393">
        <v>105000</v>
      </c>
      <c r="L393">
        <v>1982.28</v>
      </c>
      <c r="M393" t="s">
        <v>17</v>
      </c>
    </row>
    <row r="394" spans="1:13" x14ac:dyDescent="0.25">
      <c r="A394" t="s">
        <v>135</v>
      </c>
      <c r="B394">
        <f t="shared" si="6"/>
        <v>1</v>
      </c>
      <c r="C394" s="5">
        <v>46183</v>
      </c>
      <c r="D394" t="s">
        <v>65</v>
      </c>
      <c r="E394" t="s">
        <v>35</v>
      </c>
      <c r="F394" t="s">
        <v>39</v>
      </c>
      <c r="G394" t="s">
        <v>29</v>
      </c>
      <c r="H394" s="4">
        <v>8000</v>
      </c>
      <c r="I394">
        <v>3</v>
      </c>
      <c r="J394">
        <v>0</v>
      </c>
      <c r="K394">
        <v>24000</v>
      </c>
      <c r="L394">
        <v>2072.3200000000002</v>
      </c>
      <c r="M394" t="s">
        <v>17</v>
      </c>
    </row>
    <row r="395" spans="1:13" x14ac:dyDescent="0.25">
      <c r="A395" t="s">
        <v>485</v>
      </c>
      <c r="B395">
        <f t="shared" si="6"/>
        <v>1</v>
      </c>
      <c r="C395" s="5">
        <v>46184</v>
      </c>
      <c r="D395" t="s">
        <v>24</v>
      </c>
      <c r="E395" t="s">
        <v>20</v>
      </c>
      <c r="F395" t="s">
        <v>15</v>
      </c>
      <c r="G395" t="s">
        <v>41</v>
      </c>
      <c r="H395" s="4">
        <v>15000</v>
      </c>
      <c r="I395">
        <v>1</v>
      </c>
      <c r="J395">
        <v>0.2</v>
      </c>
      <c r="K395">
        <v>12000</v>
      </c>
      <c r="L395">
        <v>3122.53</v>
      </c>
      <c r="M395" t="s">
        <v>17</v>
      </c>
    </row>
    <row r="396" spans="1:13" x14ac:dyDescent="0.25">
      <c r="A396" t="s">
        <v>70</v>
      </c>
      <c r="B396">
        <f t="shared" si="6"/>
        <v>1</v>
      </c>
      <c r="C396" s="5">
        <v>46185</v>
      </c>
      <c r="D396" t="s">
        <v>24</v>
      </c>
      <c r="E396" t="s">
        <v>35</v>
      </c>
      <c r="F396" t="s">
        <v>36</v>
      </c>
      <c r="G396" t="s">
        <v>16</v>
      </c>
      <c r="H396" s="4">
        <v>5000</v>
      </c>
      <c r="I396">
        <v>1</v>
      </c>
      <c r="J396">
        <v>0.1</v>
      </c>
      <c r="K396">
        <v>4500</v>
      </c>
      <c r="L396">
        <v>243.71</v>
      </c>
      <c r="M396" t="s">
        <v>33</v>
      </c>
    </row>
    <row r="397" spans="1:13" x14ac:dyDescent="0.25">
      <c r="A397" t="s">
        <v>146</v>
      </c>
      <c r="B397">
        <f t="shared" si="6"/>
        <v>1</v>
      </c>
      <c r="C397" s="5">
        <v>46186</v>
      </c>
      <c r="D397" t="s">
        <v>13</v>
      </c>
      <c r="E397" t="s">
        <v>32</v>
      </c>
      <c r="F397" t="s">
        <v>26</v>
      </c>
      <c r="G397" t="s">
        <v>41</v>
      </c>
      <c r="H397" s="4">
        <v>15000</v>
      </c>
      <c r="I397">
        <v>3</v>
      </c>
      <c r="J397">
        <v>0</v>
      </c>
      <c r="K397">
        <v>45000</v>
      </c>
      <c r="L397">
        <v>3084.37</v>
      </c>
      <c r="M397" t="s">
        <v>17</v>
      </c>
    </row>
    <row r="398" spans="1:13" x14ac:dyDescent="0.25">
      <c r="A398" t="s">
        <v>364</v>
      </c>
      <c r="B398">
        <f t="shared" si="6"/>
        <v>1</v>
      </c>
      <c r="C398" s="5">
        <v>46189</v>
      </c>
      <c r="D398" t="s">
        <v>24</v>
      </c>
      <c r="E398" t="s">
        <v>32</v>
      </c>
      <c r="F398" t="s">
        <v>49</v>
      </c>
      <c r="G398" t="s">
        <v>41</v>
      </c>
      <c r="H398" s="4">
        <v>15000</v>
      </c>
      <c r="I398">
        <v>1</v>
      </c>
      <c r="J398">
        <v>0</v>
      </c>
      <c r="K398">
        <v>15000</v>
      </c>
      <c r="L398">
        <v>3067.86</v>
      </c>
      <c r="M398" t="s">
        <v>17</v>
      </c>
    </row>
    <row r="399" spans="1:13" x14ac:dyDescent="0.25">
      <c r="A399" t="s">
        <v>409</v>
      </c>
      <c r="B399">
        <f t="shared" si="6"/>
        <v>1</v>
      </c>
      <c r="C399" s="5">
        <v>46189</v>
      </c>
      <c r="D399" t="s">
        <v>13</v>
      </c>
      <c r="E399" t="s">
        <v>14</v>
      </c>
      <c r="F399" t="s">
        <v>15</v>
      </c>
      <c r="G399" t="s">
        <v>43</v>
      </c>
      <c r="H399" s="4">
        <v>65000</v>
      </c>
      <c r="I399">
        <v>2</v>
      </c>
      <c r="J399">
        <v>0</v>
      </c>
      <c r="K399">
        <v>130000</v>
      </c>
      <c r="L399">
        <v>0</v>
      </c>
      <c r="M399" t="s">
        <v>17</v>
      </c>
    </row>
    <row r="400" spans="1:13" x14ac:dyDescent="0.25">
      <c r="A400" t="s">
        <v>454</v>
      </c>
      <c r="B400">
        <f t="shared" si="6"/>
        <v>1</v>
      </c>
      <c r="C400" s="5">
        <v>46190</v>
      </c>
      <c r="D400" t="s">
        <v>13</v>
      </c>
      <c r="E400" t="s">
        <v>32</v>
      </c>
      <c r="F400" t="s">
        <v>15</v>
      </c>
      <c r="G400" t="s">
        <v>41</v>
      </c>
      <c r="H400" s="4">
        <v>15000</v>
      </c>
      <c r="I400">
        <v>1</v>
      </c>
      <c r="J400">
        <v>0.05</v>
      </c>
      <c r="K400">
        <v>14250</v>
      </c>
      <c r="L400">
        <v>223.36</v>
      </c>
      <c r="M400" t="s">
        <v>17</v>
      </c>
    </row>
    <row r="401" spans="1:13" x14ac:dyDescent="0.25">
      <c r="A401" t="s">
        <v>131</v>
      </c>
      <c r="B401">
        <f t="shared" si="6"/>
        <v>1</v>
      </c>
      <c r="C401" s="5">
        <v>46191</v>
      </c>
      <c r="D401" t="s">
        <v>24</v>
      </c>
      <c r="E401" t="s">
        <v>35</v>
      </c>
      <c r="F401" t="s">
        <v>26</v>
      </c>
      <c r="G401" t="s">
        <v>29</v>
      </c>
      <c r="H401" s="4">
        <v>8000</v>
      </c>
      <c r="I401">
        <v>1</v>
      </c>
      <c r="J401">
        <v>0</v>
      </c>
      <c r="K401">
        <v>8000</v>
      </c>
      <c r="L401">
        <v>976.64</v>
      </c>
      <c r="M401" t="s">
        <v>33</v>
      </c>
    </row>
    <row r="402" spans="1:13" x14ac:dyDescent="0.25">
      <c r="A402" t="s">
        <v>91</v>
      </c>
      <c r="B402">
        <f t="shared" si="6"/>
        <v>1</v>
      </c>
      <c r="C402" s="5">
        <v>46192</v>
      </c>
      <c r="D402" t="s">
        <v>65</v>
      </c>
      <c r="E402" t="s">
        <v>25</v>
      </c>
      <c r="F402" t="s">
        <v>15</v>
      </c>
      <c r="G402" t="s">
        <v>29</v>
      </c>
      <c r="H402" s="4">
        <v>8000</v>
      </c>
      <c r="I402">
        <v>1</v>
      </c>
      <c r="J402">
        <v>0</v>
      </c>
      <c r="K402">
        <v>8000</v>
      </c>
      <c r="L402">
        <v>2356.81</v>
      </c>
      <c r="M402" t="s">
        <v>17</v>
      </c>
    </row>
    <row r="403" spans="1:13" x14ac:dyDescent="0.25">
      <c r="A403" t="s">
        <v>488</v>
      </c>
      <c r="B403">
        <f t="shared" si="6"/>
        <v>1</v>
      </c>
      <c r="C403" s="5">
        <v>46196</v>
      </c>
      <c r="D403" t="s">
        <v>13</v>
      </c>
      <c r="E403" t="s">
        <v>20</v>
      </c>
      <c r="F403" t="s">
        <v>36</v>
      </c>
      <c r="G403" t="s">
        <v>43</v>
      </c>
      <c r="H403" s="4">
        <v>65000</v>
      </c>
      <c r="I403">
        <v>1</v>
      </c>
      <c r="J403">
        <v>0.1</v>
      </c>
      <c r="K403">
        <v>58500</v>
      </c>
      <c r="L403">
        <v>996.37</v>
      </c>
      <c r="M403" t="s">
        <v>17</v>
      </c>
    </row>
    <row r="404" spans="1:13" x14ac:dyDescent="0.25">
      <c r="A404" t="s">
        <v>348</v>
      </c>
      <c r="B404">
        <f t="shared" si="6"/>
        <v>1</v>
      </c>
      <c r="C404" s="5">
        <v>46198</v>
      </c>
      <c r="D404" t="s">
        <v>19</v>
      </c>
      <c r="E404" t="s">
        <v>20</v>
      </c>
      <c r="F404" t="s">
        <v>26</v>
      </c>
      <c r="G404" t="s">
        <v>16</v>
      </c>
      <c r="H404" s="4">
        <v>5000</v>
      </c>
      <c r="I404">
        <v>1</v>
      </c>
      <c r="J404">
        <v>0.1</v>
      </c>
      <c r="K404">
        <v>4500</v>
      </c>
      <c r="L404">
        <v>2162.09</v>
      </c>
      <c r="M404" t="s">
        <v>17</v>
      </c>
    </row>
    <row r="405" spans="1:13" x14ac:dyDescent="0.25">
      <c r="A405" t="s">
        <v>279</v>
      </c>
      <c r="B405">
        <f t="shared" si="6"/>
        <v>1</v>
      </c>
      <c r="C405" s="5">
        <v>46201</v>
      </c>
      <c r="D405" t="s">
        <v>13</v>
      </c>
      <c r="E405" t="s">
        <v>20</v>
      </c>
      <c r="F405" t="s">
        <v>39</v>
      </c>
      <c r="G405" t="s">
        <v>43</v>
      </c>
      <c r="H405" s="4">
        <v>65000</v>
      </c>
      <c r="I405">
        <v>3</v>
      </c>
      <c r="J405">
        <v>0</v>
      </c>
      <c r="K405">
        <v>195000</v>
      </c>
      <c r="L405">
        <v>1787.64</v>
      </c>
      <c r="M405" t="s">
        <v>17</v>
      </c>
    </row>
    <row r="406" spans="1:13" x14ac:dyDescent="0.25">
      <c r="A406" t="s">
        <v>365</v>
      </c>
      <c r="B406">
        <f t="shared" si="6"/>
        <v>1</v>
      </c>
      <c r="C406" s="5">
        <v>46201</v>
      </c>
      <c r="D406" t="s">
        <v>19</v>
      </c>
      <c r="E406" t="s">
        <v>32</v>
      </c>
      <c r="F406" t="s">
        <v>39</v>
      </c>
      <c r="G406" t="s">
        <v>22</v>
      </c>
      <c r="H406" s="4">
        <v>35000</v>
      </c>
      <c r="I406">
        <v>1</v>
      </c>
      <c r="J406">
        <v>0.15</v>
      </c>
      <c r="K406">
        <v>29750</v>
      </c>
      <c r="L406">
        <v>351.44</v>
      </c>
      <c r="M406" t="s">
        <v>17</v>
      </c>
    </row>
    <row r="407" spans="1:13" x14ac:dyDescent="0.25">
      <c r="A407" t="s">
        <v>332</v>
      </c>
      <c r="B407">
        <f t="shared" si="6"/>
        <v>1</v>
      </c>
      <c r="C407" s="5">
        <v>46202</v>
      </c>
      <c r="D407" t="s">
        <v>13</v>
      </c>
      <c r="E407" t="s">
        <v>14</v>
      </c>
      <c r="F407" t="s">
        <v>15</v>
      </c>
      <c r="G407" t="s">
        <v>22</v>
      </c>
      <c r="H407" s="4">
        <v>35000</v>
      </c>
      <c r="I407">
        <v>2</v>
      </c>
      <c r="J407">
        <v>0</v>
      </c>
      <c r="K407">
        <v>70000</v>
      </c>
      <c r="L407">
        <v>0</v>
      </c>
      <c r="M407" t="s">
        <v>17</v>
      </c>
    </row>
    <row r="408" spans="1:13" x14ac:dyDescent="0.25">
      <c r="A408" t="s">
        <v>298</v>
      </c>
      <c r="B408">
        <f t="shared" si="6"/>
        <v>1</v>
      </c>
      <c r="C408" s="5">
        <v>46203</v>
      </c>
      <c r="D408" t="s">
        <v>13</v>
      </c>
      <c r="E408" t="s">
        <v>32</v>
      </c>
      <c r="F408" t="s">
        <v>15</v>
      </c>
      <c r="G408" t="s">
        <v>16</v>
      </c>
      <c r="H408" s="4">
        <v>5000</v>
      </c>
      <c r="I408">
        <v>1</v>
      </c>
      <c r="J408">
        <v>0</v>
      </c>
      <c r="K408">
        <v>5000</v>
      </c>
      <c r="L408">
        <v>1121.68</v>
      </c>
      <c r="M408" t="s">
        <v>17</v>
      </c>
    </row>
    <row r="409" spans="1:13" x14ac:dyDescent="0.25">
      <c r="A409" t="s">
        <v>372</v>
      </c>
      <c r="B409">
        <f t="shared" si="6"/>
        <v>1</v>
      </c>
      <c r="C409" s="5">
        <v>46205</v>
      </c>
      <c r="D409" t="s">
        <v>19</v>
      </c>
      <c r="E409" t="s">
        <v>35</v>
      </c>
      <c r="F409" t="s">
        <v>39</v>
      </c>
      <c r="G409" t="s">
        <v>41</v>
      </c>
      <c r="H409" s="4">
        <v>15000</v>
      </c>
      <c r="I409">
        <v>1</v>
      </c>
      <c r="J409">
        <v>0.2</v>
      </c>
      <c r="K409">
        <v>12000</v>
      </c>
      <c r="L409">
        <v>2122.06</v>
      </c>
      <c r="M409" t="s">
        <v>17</v>
      </c>
    </row>
    <row r="410" spans="1:13" x14ac:dyDescent="0.25">
      <c r="A410" t="s">
        <v>458</v>
      </c>
      <c r="B410">
        <f t="shared" si="6"/>
        <v>1</v>
      </c>
      <c r="C410" s="5">
        <v>46205</v>
      </c>
      <c r="D410" t="s">
        <v>24</v>
      </c>
      <c r="E410" t="s">
        <v>20</v>
      </c>
      <c r="F410" t="s">
        <v>36</v>
      </c>
      <c r="G410" t="s">
        <v>16</v>
      </c>
      <c r="H410" s="4">
        <v>5000</v>
      </c>
      <c r="I410">
        <v>1</v>
      </c>
      <c r="J410">
        <v>0.05</v>
      </c>
      <c r="K410">
        <v>4750</v>
      </c>
      <c r="L410">
        <v>945.95</v>
      </c>
      <c r="M410" t="s">
        <v>17</v>
      </c>
    </row>
    <row r="411" spans="1:13" x14ac:dyDescent="0.25">
      <c r="A411" t="s">
        <v>226</v>
      </c>
      <c r="B411">
        <f t="shared" si="6"/>
        <v>1</v>
      </c>
      <c r="C411" s="5">
        <v>46211</v>
      </c>
      <c r="D411" t="s">
        <v>24</v>
      </c>
      <c r="E411" t="s">
        <v>25</v>
      </c>
      <c r="F411" t="s">
        <v>39</v>
      </c>
      <c r="G411" t="s">
        <v>43</v>
      </c>
      <c r="H411" s="4">
        <v>65000</v>
      </c>
      <c r="I411">
        <v>1</v>
      </c>
      <c r="J411">
        <v>0.05</v>
      </c>
      <c r="K411">
        <v>61750</v>
      </c>
      <c r="L411">
        <v>2436.27</v>
      </c>
      <c r="M411" t="s">
        <v>17</v>
      </c>
    </row>
    <row r="412" spans="1:13" x14ac:dyDescent="0.25">
      <c r="A412" t="s">
        <v>490</v>
      </c>
      <c r="B412">
        <f t="shared" si="6"/>
        <v>1</v>
      </c>
      <c r="C412" s="5">
        <v>46214</v>
      </c>
      <c r="D412" t="s">
        <v>24</v>
      </c>
      <c r="E412" t="s">
        <v>35</v>
      </c>
      <c r="F412" t="s">
        <v>49</v>
      </c>
      <c r="G412" t="s">
        <v>29</v>
      </c>
      <c r="H412" s="4">
        <v>8000</v>
      </c>
      <c r="I412">
        <v>1</v>
      </c>
      <c r="J412">
        <v>0</v>
      </c>
      <c r="K412">
        <v>8000</v>
      </c>
      <c r="L412">
        <v>1603.69</v>
      </c>
      <c r="M412" t="s">
        <v>33</v>
      </c>
    </row>
    <row r="413" spans="1:13" x14ac:dyDescent="0.25">
      <c r="A413" t="s">
        <v>171</v>
      </c>
      <c r="B413">
        <f t="shared" si="6"/>
        <v>1</v>
      </c>
      <c r="C413" s="5">
        <v>46215</v>
      </c>
      <c r="D413" t="s">
        <v>24</v>
      </c>
      <c r="E413" t="s">
        <v>35</v>
      </c>
      <c r="F413" t="s">
        <v>26</v>
      </c>
      <c r="G413" t="s">
        <v>29</v>
      </c>
      <c r="H413" s="4">
        <v>8000</v>
      </c>
      <c r="I413">
        <v>2</v>
      </c>
      <c r="J413">
        <v>0</v>
      </c>
      <c r="K413">
        <v>16000</v>
      </c>
      <c r="L413">
        <v>1968.48</v>
      </c>
      <c r="M413" t="s">
        <v>17</v>
      </c>
    </row>
    <row r="414" spans="1:13" x14ac:dyDescent="0.25">
      <c r="A414" t="s">
        <v>397</v>
      </c>
      <c r="B414">
        <f t="shared" si="6"/>
        <v>1</v>
      </c>
      <c r="C414" s="5">
        <v>46216</v>
      </c>
      <c r="D414" t="s">
        <v>63</v>
      </c>
      <c r="E414" t="s">
        <v>14</v>
      </c>
      <c r="F414" t="s">
        <v>36</v>
      </c>
      <c r="G414" t="s">
        <v>16</v>
      </c>
      <c r="H414" s="4">
        <v>5000</v>
      </c>
      <c r="I414">
        <v>1</v>
      </c>
      <c r="J414">
        <v>0</v>
      </c>
      <c r="K414">
        <v>5000</v>
      </c>
      <c r="L414">
        <v>0</v>
      </c>
      <c r="M414" t="s">
        <v>17</v>
      </c>
    </row>
    <row r="415" spans="1:13" x14ac:dyDescent="0.25">
      <c r="A415" t="s">
        <v>125</v>
      </c>
      <c r="B415">
        <f t="shared" si="6"/>
        <v>1</v>
      </c>
      <c r="C415" s="5">
        <v>46218</v>
      </c>
      <c r="D415" t="s">
        <v>13</v>
      </c>
      <c r="E415" t="s">
        <v>35</v>
      </c>
      <c r="F415" t="s">
        <v>39</v>
      </c>
      <c r="G415" t="s">
        <v>22</v>
      </c>
      <c r="H415" s="4">
        <v>35000</v>
      </c>
      <c r="I415">
        <v>1</v>
      </c>
      <c r="J415">
        <v>0.05</v>
      </c>
      <c r="K415">
        <v>33250</v>
      </c>
      <c r="L415">
        <v>3013.69</v>
      </c>
      <c r="M415" t="s">
        <v>17</v>
      </c>
    </row>
    <row r="416" spans="1:13" x14ac:dyDescent="0.25">
      <c r="A416" t="s">
        <v>302</v>
      </c>
      <c r="B416">
        <f t="shared" si="6"/>
        <v>1</v>
      </c>
      <c r="C416" s="5">
        <v>46219</v>
      </c>
      <c r="D416" t="s">
        <v>65</v>
      </c>
      <c r="E416" t="s">
        <v>25</v>
      </c>
      <c r="F416" t="s">
        <v>15</v>
      </c>
      <c r="G416" t="s">
        <v>22</v>
      </c>
      <c r="H416" s="4">
        <v>35000</v>
      </c>
      <c r="I416">
        <v>1</v>
      </c>
      <c r="J416">
        <v>0</v>
      </c>
      <c r="K416">
        <v>35000</v>
      </c>
      <c r="L416">
        <v>3224.15</v>
      </c>
      <c r="M416" t="s">
        <v>17</v>
      </c>
    </row>
    <row r="417" spans="1:13" x14ac:dyDescent="0.25">
      <c r="A417" t="s">
        <v>446</v>
      </c>
      <c r="B417">
        <f t="shared" si="6"/>
        <v>1</v>
      </c>
      <c r="C417" s="5">
        <v>46219</v>
      </c>
      <c r="D417" t="s">
        <v>13</v>
      </c>
      <c r="E417" t="s">
        <v>32</v>
      </c>
      <c r="F417" t="s">
        <v>15</v>
      </c>
      <c r="G417" t="s">
        <v>41</v>
      </c>
      <c r="H417" s="4">
        <v>15000</v>
      </c>
      <c r="I417">
        <v>2</v>
      </c>
      <c r="J417">
        <v>0</v>
      </c>
      <c r="K417">
        <v>30000</v>
      </c>
      <c r="L417">
        <v>3243.48</v>
      </c>
      <c r="M417" t="s">
        <v>33</v>
      </c>
    </row>
    <row r="418" spans="1:13" x14ac:dyDescent="0.25">
      <c r="A418" t="s">
        <v>149</v>
      </c>
      <c r="B418">
        <f t="shared" si="6"/>
        <v>1</v>
      </c>
      <c r="C418" s="5">
        <v>46220</v>
      </c>
      <c r="D418" t="s">
        <v>24</v>
      </c>
      <c r="E418" t="s">
        <v>35</v>
      </c>
      <c r="F418" t="s">
        <v>26</v>
      </c>
      <c r="G418" t="s">
        <v>29</v>
      </c>
      <c r="H418" s="4">
        <v>8000</v>
      </c>
      <c r="I418">
        <v>1</v>
      </c>
      <c r="J418">
        <v>0</v>
      </c>
      <c r="K418">
        <v>8000</v>
      </c>
      <c r="L418">
        <v>1342.68</v>
      </c>
      <c r="M418" t="s">
        <v>33</v>
      </c>
    </row>
    <row r="419" spans="1:13" x14ac:dyDescent="0.25">
      <c r="A419" t="s">
        <v>352</v>
      </c>
      <c r="B419">
        <f t="shared" si="6"/>
        <v>1</v>
      </c>
      <c r="C419" s="5">
        <v>46221</v>
      </c>
      <c r="D419" t="s">
        <v>24</v>
      </c>
      <c r="E419" t="s">
        <v>20</v>
      </c>
      <c r="F419" t="s">
        <v>26</v>
      </c>
      <c r="G419" t="s">
        <v>16</v>
      </c>
      <c r="H419" s="4">
        <v>5000</v>
      </c>
      <c r="I419">
        <v>3</v>
      </c>
      <c r="J419">
        <v>0.1</v>
      </c>
      <c r="K419">
        <v>13500</v>
      </c>
      <c r="L419">
        <v>3124.15</v>
      </c>
      <c r="M419" t="s">
        <v>17</v>
      </c>
    </row>
    <row r="420" spans="1:13" x14ac:dyDescent="0.25">
      <c r="A420" t="s">
        <v>355</v>
      </c>
      <c r="B420">
        <f t="shared" si="6"/>
        <v>1</v>
      </c>
      <c r="C420" s="5">
        <v>46222</v>
      </c>
      <c r="D420" t="s">
        <v>31</v>
      </c>
      <c r="E420" t="s">
        <v>38</v>
      </c>
      <c r="F420" t="s">
        <v>15</v>
      </c>
      <c r="G420" t="s">
        <v>41</v>
      </c>
      <c r="H420" s="4">
        <v>15000</v>
      </c>
      <c r="I420">
        <v>1</v>
      </c>
      <c r="J420">
        <v>0.2</v>
      </c>
      <c r="K420">
        <v>12000</v>
      </c>
      <c r="L420">
        <v>0</v>
      </c>
      <c r="M420" t="s">
        <v>17</v>
      </c>
    </row>
    <row r="421" spans="1:13" x14ac:dyDescent="0.25">
      <c r="A421" t="s">
        <v>319</v>
      </c>
      <c r="B421">
        <f t="shared" si="6"/>
        <v>1</v>
      </c>
      <c r="C421" s="5">
        <v>46223</v>
      </c>
      <c r="D421" t="s">
        <v>24</v>
      </c>
      <c r="E421" t="s">
        <v>32</v>
      </c>
      <c r="F421" t="s">
        <v>39</v>
      </c>
      <c r="G421" t="s">
        <v>16</v>
      </c>
      <c r="H421" s="4">
        <v>5000</v>
      </c>
      <c r="I421">
        <v>2</v>
      </c>
      <c r="J421">
        <v>0</v>
      </c>
      <c r="K421">
        <v>10000</v>
      </c>
      <c r="L421">
        <v>1401.2</v>
      </c>
      <c r="M421" t="s">
        <v>17</v>
      </c>
    </row>
    <row r="422" spans="1:13" x14ac:dyDescent="0.25">
      <c r="A422" t="s">
        <v>326</v>
      </c>
      <c r="B422">
        <f t="shared" si="6"/>
        <v>1</v>
      </c>
      <c r="C422" s="5">
        <v>46225</v>
      </c>
      <c r="D422" t="s">
        <v>19</v>
      </c>
      <c r="E422" t="s">
        <v>14</v>
      </c>
      <c r="F422" t="s">
        <v>15</v>
      </c>
      <c r="G422" t="s">
        <v>16</v>
      </c>
      <c r="H422" s="4">
        <v>5000</v>
      </c>
      <c r="I422">
        <v>2</v>
      </c>
      <c r="J422">
        <v>0.1</v>
      </c>
      <c r="K422">
        <v>9000</v>
      </c>
      <c r="L422">
        <v>0</v>
      </c>
      <c r="M422" t="s">
        <v>33</v>
      </c>
    </row>
    <row r="423" spans="1:13" x14ac:dyDescent="0.25">
      <c r="A423" t="s">
        <v>75</v>
      </c>
      <c r="B423">
        <f t="shared" si="6"/>
        <v>1</v>
      </c>
      <c r="C423" s="5">
        <v>46226</v>
      </c>
      <c r="D423" t="s">
        <v>13</v>
      </c>
      <c r="E423" t="s">
        <v>20</v>
      </c>
      <c r="F423" t="s">
        <v>26</v>
      </c>
      <c r="G423" t="s">
        <v>43</v>
      </c>
      <c r="H423" s="4">
        <v>65000</v>
      </c>
      <c r="I423">
        <v>1</v>
      </c>
      <c r="J423">
        <v>0</v>
      </c>
      <c r="K423">
        <v>65000</v>
      </c>
      <c r="L423">
        <v>2613.7600000000002</v>
      </c>
      <c r="M423" t="s">
        <v>17</v>
      </c>
    </row>
    <row r="424" spans="1:13" x14ac:dyDescent="0.25">
      <c r="A424" t="s">
        <v>448</v>
      </c>
      <c r="B424">
        <f t="shared" si="6"/>
        <v>1</v>
      </c>
      <c r="C424" s="5">
        <v>46227</v>
      </c>
      <c r="D424" t="s">
        <v>65</v>
      </c>
      <c r="E424" t="s">
        <v>25</v>
      </c>
      <c r="F424" t="s">
        <v>36</v>
      </c>
      <c r="G424" t="s">
        <v>41</v>
      </c>
      <c r="H424" s="4">
        <v>15000</v>
      </c>
      <c r="I424">
        <v>1</v>
      </c>
      <c r="J424">
        <v>0.1</v>
      </c>
      <c r="K424">
        <v>13500</v>
      </c>
      <c r="L424">
        <v>3468.15</v>
      </c>
      <c r="M424" t="s">
        <v>17</v>
      </c>
    </row>
    <row r="425" spans="1:13" x14ac:dyDescent="0.25">
      <c r="A425" t="s">
        <v>57</v>
      </c>
      <c r="B425">
        <f t="shared" si="6"/>
        <v>1</v>
      </c>
      <c r="C425" s="5">
        <v>46229</v>
      </c>
      <c r="D425" t="s">
        <v>13</v>
      </c>
      <c r="E425" t="s">
        <v>38</v>
      </c>
      <c r="F425" t="s">
        <v>49</v>
      </c>
      <c r="G425" t="s">
        <v>41</v>
      </c>
      <c r="H425" s="4">
        <v>15000</v>
      </c>
      <c r="I425">
        <v>1</v>
      </c>
      <c r="J425">
        <v>0</v>
      </c>
      <c r="K425">
        <v>15000</v>
      </c>
      <c r="L425">
        <v>0</v>
      </c>
      <c r="M425" t="s">
        <v>17</v>
      </c>
    </row>
    <row r="426" spans="1:13" x14ac:dyDescent="0.25">
      <c r="A426" t="s">
        <v>417</v>
      </c>
      <c r="B426">
        <f t="shared" si="6"/>
        <v>1</v>
      </c>
      <c r="C426" s="5">
        <v>46229</v>
      </c>
      <c r="D426" t="s">
        <v>19</v>
      </c>
      <c r="E426" t="s">
        <v>25</v>
      </c>
      <c r="F426" t="s">
        <v>15</v>
      </c>
      <c r="G426" t="s">
        <v>16</v>
      </c>
      <c r="H426" s="4">
        <v>5000</v>
      </c>
      <c r="I426">
        <v>1</v>
      </c>
      <c r="J426">
        <v>0.2</v>
      </c>
      <c r="K426">
        <v>4000</v>
      </c>
      <c r="L426">
        <v>2871.93</v>
      </c>
      <c r="M426" t="s">
        <v>17</v>
      </c>
    </row>
    <row r="427" spans="1:13" x14ac:dyDescent="0.25">
      <c r="A427" t="s">
        <v>188</v>
      </c>
      <c r="B427">
        <f t="shared" si="6"/>
        <v>1</v>
      </c>
      <c r="C427" s="5">
        <v>46230</v>
      </c>
      <c r="D427" t="s">
        <v>13</v>
      </c>
      <c r="E427" t="s">
        <v>35</v>
      </c>
      <c r="F427" t="s">
        <v>21</v>
      </c>
      <c r="G427" t="s">
        <v>16</v>
      </c>
      <c r="H427" s="4">
        <v>5000</v>
      </c>
      <c r="I427">
        <v>2</v>
      </c>
      <c r="J427">
        <v>0</v>
      </c>
      <c r="K427">
        <v>10000</v>
      </c>
      <c r="L427">
        <v>1583.46</v>
      </c>
      <c r="M427" t="s">
        <v>33</v>
      </c>
    </row>
    <row r="428" spans="1:13" x14ac:dyDescent="0.25">
      <c r="A428" t="s">
        <v>300</v>
      </c>
      <c r="B428">
        <f t="shared" si="6"/>
        <v>1</v>
      </c>
      <c r="C428" s="5">
        <v>46231</v>
      </c>
      <c r="D428" t="s">
        <v>13</v>
      </c>
      <c r="E428" t="s">
        <v>28</v>
      </c>
      <c r="F428" t="s">
        <v>49</v>
      </c>
      <c r="G428" t="s">
        <v>29</v>
      </c>
      <c r="H428" s="4">
        <v>8000</v>
      </c>
      <c r="I428">
        <v>1</v>
      </c>
      <c r="J428">
        <v>0</v>
      </c>
      <c r="K428">
        <v>8000</v>
      </c>
      <c r="L428">
        <v>0</v>
      </c>
      <c r="M428" t="s">
        <v>17</v>
      </c>
    </row>
    <row r="429" spans="1:13" x14ac:dyDescent="0.25">
      <c r="A429" t="s">
        <v>308</v>
      </c>
      <c r="B429">
        <f t="shared" si="6"/>
        <v>1</v>
      </c>
      <c r="C429" s="5">
        <v>46232</v>
      </c>
      <c r="D429" t="s">
        <v>13</v>
      </c>
      <c r="E429" t="s">
        <v>35</v>
      </c>
      <c r="F429" t="s">
        <v>15</v>
      </c>
      <c r="G429" t="s">
        <v>41</v>
      </c>
      <c r="H429" s="4">
        <v>15000</v>
      </c>
      <c r="I429">
        <v>1</v>
      </c>
      <c r="J429">
        <v>0.1</v>
      </c>
      <c r="K429">
        <v>13500</v>
      </c>
      <c r="L429">
        <v>423.54</v>
      </c>
      <c r="M429" t="s">
        <v>33</v>
      </c>
    </row>
    <row r="430" spans="1:13" x14ac:dyDescent="0.25">
      <c r="A430" t="s">
        <v>379</v>
      </c>
      <c r="B430">
        <f t="shared" si="6"/>
        <v>1</v>
      </c>
      <c r="C430" s="5">
        <v>46236</v>
      </c>
      <c r="D430" t="s">
        <v>24</v>
      </c>
      <c r="E430" t="s">
        <v>35</v>
      </c>
      <c r="F430" t="s">
        <v>26</v>
      </c>
      <c r="G430" t="s">
        <v>43</v>
      </c>
      <c r="H430" s="4">
        <v>65000</v>
      </c>
      <c r="I430">
        <v>2</v>
      </c>
      <c r="J430">
        <v>0.05</v>
      </c>
      <c r="K430">
        <v>123500</v>
      </c>
      <c r="L430">
        <v>2922.88</v>
      </c>
      <c r="M430" t="s">
        <v>17</v>
      </c>
    </row>
    <row r="431" spans="1:13" x14ac:dyDescent="0.25">
      <c r="A431" t="s">
        <v>141</v>
      </c>
      <c r="B431">
        <f t="shared" si="6"/>
        <v>1</v>
      </c>
      <c r="C431" s="5">
        <v>46237</v>
      </c>
      <c r="D431" t="s">
        <v>31</v>
      </c>
      <c r="E431" t="s">
        <v>25</v>
      </c>
      <c r="F431" t="s">
        <v>26</v>
      </c>
      <c r="G431" t="s">
        <v>29</v>
      </c>
      <c r="H431" s="4">
        <v>8000</v>
      </c>
      <c r="I431">
        <v>1</v>
      </c>
      <c r="J431">
        <v>0.1</v>
      </c>
      <c r="K431">
        <v>7200</v>
      </c>
      <c r="L431">
        <v>1587.16</v>
      </c>
      <c r="M431" t="s">
        <v>17</v>
      </c>
    </row>
    <row r="432" spans="1:13" x14ac:dyDescent="0.25">
      <c r="A432" t="s">
        <v>440</v>
      </c>
      <c r="B432">
        <f t="shared" si="6"/>
        <v>1</v>
      </c>
      <c r="C432" s="5">
        <v>46237</v>
      </c>
      <c r="D432" t="s">
        <v>13</v>
      </c>
      <c r="E432" t="s">
        <v>20</v>
      </c>
      <c r="F432" t="s">
        <v>49</v>
      </c>
      <c r="G432" t="s">
        <v>43</v>
      </c>
      <c r="H432" s="4">
        <v>65000</v>
      </c>
      <c r="I432">
        <v>3</v>
      </c>
      <c r="J432">
        <v>0.05</v>
      </c>
      <c r="K432">
        <v>185250</v>
      </c>
      <c r="L432">
        <v>1263.07</v>
      </c>
      <c r="M432" t="s">
        <v>17</v>
      </c>
    </row>
    <row r="433" spans="1:13" x14ac:dyDescent="0.25">
      <c r="A433" t="s">
        <v>30</v>
      </c>
      <c r="B433">
        <f t="shared" si="6"/>
        <v>1</v>
      </c>
      <c r="C433" s="5">
        <v>46238</v>
      </c>
      <c r="D433" t="s">
        <v>31</v>
      </c>
      <c r="E433" t="s">
        <v>32</v>
      </c>
      <c r="F433" t="s">
        <v>21</v>
      </c>
      <c r="G433" t="s">
        <v>29</v>
      </c>
      <c r="H433" s="4">
        <v>8000</v>
      </c>
      <c r="I433">
        <v>2</v>
      </c>
      <c r="J433">
        <v>0</v>
      </c>
      <c r="K433">
        <v>16000</v>
      </c>
      <c r="L433">
        <v>3244.11</v>
      </c>
      <c r="M433" t="s">
        <v>33</v>
      </c>
    </row>
    <row r="434" spans="1:13" x14ac:dyDescent="0.25">
      <c r="A434" t="s">
        <v>362</v>
      </c>
      <c r="B434">
        <f t="shared" si="6"/>
        <v>1</v>
      </c>
      <c r="C434" s="5">
        <v>46239</v>
      </c>
      <c r="D434" t="s">
        <v>13</v>
      </c>
      <c r="E434" t="s">
        <v>20</v>
      </c>
      <c r="F434" t="s">
        <v>15</v>
      </c>
      <c r="G434" t="s">
        <v>41</v>
      </c>
      <c r="H434" s="4">
        <v>15000</v>
      </c>
      <c r="I434">
        <v>3</v>
      </c>
      <c r="J434">
        <v>0.15</v>
      </c>
      <c r="K434">
        <v>38250</v>
      </c>
      <c r="L434">
        <v>1639.39</v>
      </c>
      <c r="M434" t="s">
        <v>33</v>
      </c>
    </row>
    <row r="435" spans="1:13" x14ac:dyDescent="0.25">
      <c r="A435" t="s">
        <v>412</v>
      </c>
      <c r="B435">
        <f t="shared" si="6"/>
        <v>1</v>
      </c>
      <c r="C435" s="5">
        <v>46239</v>
      </c>
      <c r="D435" t="s">
        <v>19</v>
      </c>
      <c r="E435" t="s">
        <v>32</v>
      </c>
      <c r="F435" t="s">
        <v>49</v>
      </c>
      <c r="G435" t="s">
        <v>22</v>
      </c>
      <c r="H435" s="4">
        <v>35000</v>
      </c>
      <c r="I435">
        <v>2</v>
      </c>
      <c r="J435">
        <v>0.15</v>
      </c>
      <c r="K435">
        <v>59500</v>
      </c>
      <c r="L435">
        <v>2844.09</v>
      </c>
      <c r="M435" t="s">
        <v>33</v>
      </c>
    </row>
    <row r="436" spans="1:13" x14ac:dyDescent="0.25">
      <c r="A436" t="s">
        <v>160</v>
      </c>
      <c r="B436">
        <f t="shared" si="6"/>
        <v>1</v>
      </c>
      <c r="C436" s="5">
        <v>46240</v>
      </c>
      <c r="D436" t="s">
        <v>13</v>
      </c>
      <c r="E436" t="s">
        <v>28</v>
      </c>
      <c r="F436" t="s">
        <v>15</v>
      </c>
      <c r="G436" t="s">
        <v>43</v>
      </c>
      <c r="H436" s="4">
        <v>65000</v>
      </c>
      <c r="I436">
        <v>2</v>
      </c>
      <c r="J436">
        <v>0.2</v>
      </c>
      <c r="K436">
        <v>104000</v>
      </c>
      <c r="L436">
        <v>0</v>
      </c>
      <c r="M436" t="s">
        <v>17</v>
      </c>
    </row>
    <row r="437" spans="1:13" x14ac:dyDescent="0.25">
      <c r="A437" t="s">
        <v>174</v>
      </c>
      <c r="B437">
        <f t="shared" si="6"/>
        <v>1</v>
      </c>
      <c r="C437" s="5">
        <v>46240</v>
      </c>
      <c r="D437" t="s">
        <v>24</v>
      </c>
      <c r="E437" t="s">
        <v>32</v>
      </c>
      <c r="F437" t="s">
        <v>15</v>
      </c>
      <c r="G437" t="s">
        <v>41</v>
      </c>
      <c r="H437" s="4">
        <v>15000</v>
      </c>
      <c r="I437">
        <v>1</v>
      </c>
      <c r="J437">
        <v>0</v>
      </c>
      <c r="K437">
        <v>15000</v>
      </c>
      <c r="L437">
        <v>2309.31</v>
      </c>
      <c r="M437" t="s">
        <v>17</v>
      </c>
    </row>
    <row r="438" spans="1:13" x14ac:dyDescent="0.25">
      <c r="A438" t="s">
        <v>394</v>
      </c>
      <c r="B438">
        <f t="shared" si="6"/>
        <v>1</v>
      </c>
      <c r="C438" s="5">
        <v>46240</v>
      </c>
      <c r="D438" t="s">
        <v>63</v>
      </c>
      <c r="E438" t="s">
        <v>25</v>
      </c>
      <c r="F438" t="s">
        <v>39</v>
      </c>
      <c r="G438" t="s">
        <v>22</v>
      </c>
      <c r="H438" s="4">
        <v>35000</v>
      </c>
      <c r="I438">
        <v>1</v>
      </c>
      <c r="J438">
        <v>0.2</v>
      </c>
      <c r="K438">
        <v>28000</v>
      </c>
      <c r="L438">
        <v>1011.47</v>
      </c>
      <c r="M438" t="s">
        <v>17</v>
      </c>
    </row>
    <row r="439" spans="1:13" x14ac:dyDescent="0.25">
      <c r="A439" t="s">
        <v>405</v>
      </c>
      <c r="B439">
        <f t="shared" si="6"/>
        <v>1</v>
      </c>
      <c r="C439" s="5">
        <v>46240</v>
      </c>
      <c r="D439" t="s">
        <v>31</v>
      </c>
      <c r="E439" t="s">
        <v>14</v>
      </c>
      <c r="F439" t="s">
        <v>39</v>
      </c>
      <c r="G439" t="s">
        <v>16</v>
      </c>
      <c r="H439" s="4">
        <v>5000</v>
      </c>
      <c r="I439">
        <v>3</v>
      </c>
      <c r="J439">
        <v>0.05</v>
      </c>
      <c r="K439">
        <v>14250</v>
      </c>
      <c r="L439">
        <v>0</v>
      </c>
      <c r="M439" t="s">
        <v>33</v>
      </c>
    </row>
    <row r="440" spans="1:13" x14ac:dyDescent="0.25">
      <c r="A440" t="s">
        <v>169</v>
      </c>
      <c r="B440">
        <f t="shared" si="6"/>
        <v>1</v>
      </c>
      <c r="C440" s="5">
        <v>46242</v>
      </c>
      <c r="D440" t="s">
        <v>24</v>
      </c>
      <c r="E440" t="s">
        <v>20</v>
      </c>
      <c r="F440" t="s">
        <v>26</v>
      </c>
      <c r="G440" t="s">
        <v>29</v>
      </c>
      <c r="H440" s="4">
        <v>8000</v>
      </c>
      <c r="I440">
        <v>2</v>
      </c>
      <c r="J440">
        <v>0</v>
      </c>
      <c r="K440">
        <v>16000</v>
      </c>
      <c r="L440">
        <v>1939.09</v>
      </c>
      <c r="M440" t="s">
        <v>33</v>
      </c>
    </row>
    <row r="441" spans="1:13" x14ac:dyDescent="0.25">
      <c r="A441" t="s">
        <v>368</v>
      </c>
      <c r="B441">
        <f t="shared" si="6"/>
        <v>1</v>
      </c>
      <c r="C441" s="5">
        <v>46246</v>
      </c>
      <c r="D441" t="s">
        <v>13</v>
      </c>
      <c r="E441" t="s">
        <v>25</v>
      </c>
      <c r="F441" t="s">
        <v>39</v>
      </c>
      <c r="G441" t="s">
        <v>41</v>
      </c>
      <c r="H441" s="4">
        <v>15000</v>
      </c>
      <c r="I441">
        <v>2</v>
      </c>
      <c r="J441">
        <v>0</v>
      </c>
      <c r="K441">
        <v>30000</v>
      </c>
      <c r="L441">
        <v>1046.8900000000001</v>
      </c>
      <c r="M441" t="s">
        <v>33</v>
      </c>
    </row>
    <row r="442" spans="1:13" x14ac:dyDescent="0.25">
      <c r="A442" t="s">
        <v>86</v>
      </c>
      <c r="B442">
        <f t="shared" si="6"/>
        <v>1</v>
      </c>
      <c r="C442" s="5">
        <v>46247</v>
      </c>
      <c r="D442" t="s">
        <v>24</v>
      </c>
      <c r="E442" t="s">
        <v>14</v>
      </c>
      <c r="F442" t="s">
        <v>49</v>
      </c>
      <c r="G442" t="s">
        <v>43</v>
      </c>
      <c r="H442" s="4">
        <v>65000</v>
      </c>
      <c r="I442">
        <v>1</v>
      </c>
      <c r="J442">
        <v>0</v>
      </c>
      <c r="K442">
        <v>65000</v>
      </c>
      <c r="L442">
        <v>0</v>
      </c>
      <c r="M442" t="s">
        <v>33</v>
      </c>
    </row>
    <row r="443" spans="1:13" x14ac:dyDescent="0.25">
      <c r="A443" t="s">
        <v>126</v>
      </c>
      <c r="B443">
        <f t="shared" si="6"/>
        <v>1</v>
      </c>
      <c r="C443" s="5">
        <v>46250</v>
      </c>
      <c r="D443" t="s">
        <v>19</v>
      </c>
      <c r="E443" t="s">
        <v>35</v>
      </c>
      <c r="F443" t="s">
        <v>49</v>
      </c>
      <c r="G443" t="s">
        <v>22</v>
      </c>
      <c r="H443" s="4">
        <v>35000</v>
      </c>
      <c r="I443">
        <v>2</v>
      </c>
      <c r="J443">
        <v>0.1</v>
      </c>
      <c r="K443">
        <v>63000</v>
      </c>
      <c r="L443">
        <v>2942.83</v>
      </c>
      <c r="M443" t="s">
        <v>17</v>
      </c>
    </row>
    <row r="444" spans="1:13" x14ac:dyDescent="0.25">
      <c r="A444" t="s">
        <v>370</v>
      </c>
      <c r="B444">
        <f t="shared" si="6"/>
        <v>1</v>
      </c>
      <c r="C444" s="5">
        <v>46250</v>
      </c>
      <c r="D444" t="s">
        <v>24</v>
      </c>
      <c r="E444" t="s">
        <v>25</v>
      </c>
      <c r="F444" t="s">
        <v>26</v>
      </c>
      <c r="G444" t="s">
        <v>29</v>
      </c>
      <c r="H444" s="4">
        <v>8000</v>
      </c>
      <c r="I444">
        <v>1</v>
      </c>
      <c r="J444">
        <v>0.05</v>
      </c>
      <c r="K444">
        <v>7600</v>
      </c>
      <c r="L444">
        <v>690.39</v>
      </c>
      <c r="M444" t="s">
        <v>17</v>
      </c>
    </row>
    <row r="445" spans="1:13" x14ac:dyDescent="0.25">
      <c r="A445" t="s">
        <v>234</v>
      </c>
      <c r="B445">
        <f t="shared" si="6"/>
        <v>1</v>
      </c>
      <c r="C445" s="5">
        <v>46256</v>
      </c>
      <c r="D445" t="s">
        <v>13</v>
      </c>
      <c r="E445" t="s">
        <v>35</v>
      </c>
      <c r="F445" t="s">
        <v>26</v>
      </c>
      <c r="G445" t="s">
        <v>43</v>
      </c>
      <c r="H445" s="4">
        <v>65000</v>
      </c>
      <c r="I445">
        <v>3</v>
      </c>
      <c r="J445">
        <v>0</v>
      </c>
      <c r="K445">
        <v>195000</v>
      </c>
      <c r="L445">
        <v>1706.89</v>
      </c>
      <c r="M445" t="s">
        <v>33</v>
      </c>
    </row>
    <row r="446" spans="1:13" x14ac:dyDescent="0.25">
      <c r="A446" t="s">
        <v>193</v>
      </c>
      <c r="B446">
        <f t="shared" si="6"/>
        <v>1</v>
      </c>
      <c r="C446" s="5">
        <v>46257</v>
      </c>
      <c r="D446" t="s">
        <v>63</v>
      </c>
      <c r="E446" t="s">
        <v>14</v>
      </c>
      <c r="F446" t="s">
        <v>26</v>
      </c>
      <c r="G446" t="s">
        <v>22</v>
      </c>
      <c r="H446" s="4">
        <v>35000</v>
      </c>
      <c r="I446">
        <v>2</v>
      </c>
      <c r="J446">
        <v>0.2</v>
      </c>
      <c r="K446">
        <v>56000</v>
      </c>
      <c r="L446">
        <v>0</v>
      </c>
      <c r="M446" t="s">
        <v>17</v>
      </c>
    </row>
    <row r="447" spans="1:13" x14ac:dyDescent="0.25">
      <c r="A447" t="s">
        <v>343</v>
      </c>
      <c r="B447">
        <f t="shared" si="6"/>
        <v>1</v>
      </c>
      <c r="C447" s="5">
        <v>46261</v>
      </c>
      <c r="D447" t="s">
        <v>19</v>
      </c>
      <c r="E447" t="s">
        <v>38</v>
      </c>
      <c r="F447" t="s">
        <v>15</v>
      </c>
      <c r="G447" t="s">
        <v>43</v>
      </c>
      <c r="H447" s="4">
        <v>65000</v>
      </c>
      <c r="I447">
        <v>1</v>
      </c>
      <c r="J447">
        <v>0.05</v>
      </c>
      <c r="K447">
        <v>61750</v>
      </c>
      <c r="L447">
        <v>0</v>
      </c>
      <c r="M447" t="s">
        <v>17</v>
      </c>
    </row>
    <row r="448" spans="1:13" x14ac:dyDescent="0.25">
      <c r="A448" t="s">
        <v>82</v>
      </c>
      <c r="B448">
        <f t="shared" si="6"/>
        <v>1</v>
      </c>
      <c r="C448" s="5">
        <v>46262</v>
      </c>
      <c r="D448" t="s">
        <v>24</v>
      </c>
      <c r="E448" t="s">
        <v>20</v>
      </c>
      <c r="F448" t="s">
        <v>15</v>
      </c>
      <c r="G448" t="s">
        <v>29</v>
      </c>
      <c r="H448" s="4">
        <v>8000</v>
      </c>
      <c r="I448">
        <v>3</v>
      </c>
      <c r="J448">
        <v>0</v>
      </c>
      <c r="K448">
        <v>24000</v>
      </c>
      <c r="L448">
        <v>3158.51</v>
      </c>
      <c r="M448" t="s">
        <v>17</v>
      </c>
    </row>
    <row r="449" spans="1:13" x14ac:dyDescent="0.25">
      <c r="A449" t="s">
        <v>88</v>
      </c>
      <c r="B449">
        <f t="shared" si="6"/>
        <v>1</v>
      </c>
      <c r="C449" s="5">
        <v>46262</v>
      </c>
      <c r="D449" t="s">
        <v>63</v>
      </c>
      <c r="E449" t="s">
        <v>14</v>
      </c>
      <c r="F449" t="s">
        <v>39</v>
      </c>
      <c r="G449" t="s">
        <v>16</v>
      </c>
      <c r="H449" s="4">
        <v>5000</v>
      </c>
      <c r="I449">
        <v>2</v>
      </c>
      <c r="J449">
        <v>0.2</v>
      </c>
      <c r="K449">
        <v>8000</v>
      </c>
      <c r="L449">
        <v>0</v>
      </c>
      <c r="M449" t="s">
        <v>33</v>
      </c>
    </row>
    <row r="450" spans="1:13" x14ac:dyDescent="0.25">
      <c r="A450" t="s">
        <v>437</v>
      </c>
      <c r="B450">
        <f t="shared" ref="B450:B451" si="7">COUNTIF($A:$A,A450)</f>
        <v>1</v>
      </c>
      <c r="C450" s="5">
        <v>46265</v>
      </c>
      <c r="D450" t="s">
        <v>19</v>
      </c>
      <c r="E450" t="s">
        <v>32</v>
      </c>
      <c r="F450" t="s">
        <v>15</v>
      </c>
      <c r="G450" t="s">
        <v>16</v>
      </c>
      <c r="H450" s="4">
        <v>5000</v>
      </c>
      <c r="I450">
        <v>1</v>
      </c>
      <c r="J450">
        <v>0</v>
      </c>
      <c r="K450">
        <v>5000</v>
      </c>
      <c r="L450">
        <v>308.58</v>
      </c>
      <c r="M450" t="s">
        <v>17</v>
      </c>
    </row>
    <row r="451" spans="1:13" x14ac:dyDescent="0.25">
      <c r="A451" t="s">
        <v>158</v>
      </c>
      <c r="B451">
        <f t="shared" si="7"/>
        <v>1</v>
      </c>
      <c r="C451" s="5">
        <v>46267</v>
      </c>
      <c r="D451" t="s">
        <v>24</v>
      </c>
      <c r="E451" t="s">
        <v>35</v>
      </c>
      <c r="F451" t="s">
        <v>49</v>
      </c>
      <c r="G451" t="s">
        <v>16</v>
      </c>
      <c r="H451" s="4">
        <v>5000</v>
      </c>
      <c r="I451">
        <v>2</v>
      </c>
      <c r="J451">
        <v>0.2</v>
      </c>
      <c r="K451">
        <v>8000</v>
      </c>
      <c r="L451">
        <v>1712.31</v>
      </c>
      <c r="M451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52"/>
  <sheetViews>
    <sheetView topLeftCell="E1" zoomScale="85" zoomScaleNormal="85" workbookViewId="0">
      <selection activeCell="N4" sqref="N4"/>
    </sheetView>
  </sheetViews>
  <sheetFormatPr defaultRowHeight="15" x14ac:dyDescent="0.25"/>
  <cols>
    <col min="1" max="1" width="23.140625" customWidth="1"/>
    <col min="2" max="2" width="29.42578125" customWidth="1"/>
    <col min="3" max="3" width="12.5703125" bestFit="1" customWidth="1"/>
    <col min="4" max="4" width="46.5703125" customWidth="1"/>
    <col min="5" max="5" width="12.7109375" customWidth="1"/>
    <col min="6" max="6" width="25.42578125" customWidth="1"/>
    <col min="7" max="7" width="11.28515625" bestFit="1" customWidth="1"/>
    <col min="8" max="8" width="16" bestFit="1" customWidth="1"/>
    <col min="9" max="9" width="17.28515625" bestFit="1" customWidth="1"/>
    <col min="10" max="10" width="16.140625" bestFit="1" customWidth="1"/>
    <col min="11" max="11" width="14.42578125" bestFit="1" customWidth="1"/>
    <col min="12" max="12" width="22.42578125" bestFit="1" customWidth="1"/>
    <col min="13" max="13" width="13.28515625" bestFit="1" customWidth="1"/>
    <col min="14" max="15" width="16.140625" bestFit="1" customWidth="1"/>
    <col min="16" max="16" width="15.5703125" bestFit="1" customWidth="1"/>
    <col min="17" max="17" width="11.28515625" bestFit="1" customWidth="1"/>
    <col min="18" max="18" width="15.5703125" bestFit="1" customWidth="1"/>
    <col min="19" max="19" width="21.140625" bestFit="1" customWidth="1"/>
    <col min="20" max="20" width="20.5703125" bestFit="1" customWidth="1"/>
  </cols>
  <sheetData>
    <row r="1" spans="1:16" ht="30.75" customHeight="1" x14ac:dyDescent="0.4">
      <c r="A1" s="12" t="s">
        <v>991</v>
      </c>
      <c r="B1" s="12"/>
      <c r="C1" s="12"/>
      <c r="D1" s="12"/>
      <c r="F1" s="6" t="s">
        <v>11</v>
      </c>
      <c r="G1" t="s">
        <v>17</v>
      </c>
    </row>
    <row r="2" spans="1:16" x14ac:dyDescent="0.25">
      <c r="A2" s="6" t="s">
        <v>986</v>
      </c>
      <c r="B2" t="s">
        <v>985</v>
      </c>
    </row>
    <row r="3" spans="1:16" x14ac:dyDescent="0.25">
      <c r="A3" s="7" t="s">
        <v>35</v>
      </c>
      <c r="B3">
        <v>160599.62000000002</v>
      </c>
      <c r="F3" s="6" t="s">
        <v>986</v>
      </c>
      <c r="G3" t="s">
        <v>989</v>
      </c>
      <c r="H3" t="s">
        <v>987</v>
      </c>
      <c r="J3" s="6" t="s">
        <v>990</v>
      </c>
      <c r="K3" t="s">
        <v>988</v>
      </c>
      <c r="L3" t="s">
        <v>989</v>
      </c>
      <c r="N3" s="6" t="s">
        <v>1019</v>
      </c>
      <c r="O3" t="s">
        <v>1016</v>
      </c>
      <c r="P3" t="s">
        <v>987</v>
      </c>
    </row>
    <row r="4" spans="1:16" x14ac:dyDescent="0.25">
      <c r="A4" s="7" t="s">
        <v>20</v>
      </c>
      <c r="B4">
        <v>157642.95000000004</v>
      </c>
      <c r="F4" s="7" t="s">
        <v>20</v>
      </c>
      <c r="G4">
        <v>47</v>
      </c>
      <c r="H4">
        <v>2221700</v>
      </c>
      <c r="J4" s="7" t="s">
        <v>43</v>
      </c>
      <c r="K4">
        <v>9070750</v>
      </c>
      <c r="L4">
        <v>95</v>
      </c>
      <c r="N4" s="7" t="s">
        <v>43</v>
      </c>
      <c r="O4">
        <v>95</v>
      </c>
      <c r="P4">
        <v>9070750</v>
      </c>
    </row>
    <row r="5" spans="1:16" x14ac:dyDescent="0.25">
      <c r="A5" s="7" t="s">
        <v>25</v>
      </c>
      <c r="B5">
        <v>124846.56000000001</v>
      </c>
      <c r="F5" s="7" t="s">
        <v>35</v>
      </c>
      <c r="G5">
        <v>50</v>
      </c>
      <c r="H5">
        <v>1898800</v>
      </c>
      <c r="J5" s="7" t="s">
        <v>22</v>
      </c>
      <c r="K5">
        <v>5192250</v>
      </c>
      <c r="L5">
        <v>88</v>
      </c>
      <c r="N5" s="7" t="s">
        <v>22</v>
      </c>
      <c r="O5">
        <v>88</v>
      </c>
      <c r="P5">
        <v>5192250</v>
      </c>
    </row>
    <row r="6" spans="1:16" x14ac:dyDescent="0.25">
      <c r="A6" s="7" t="s">
        <v>32</v>
      </c>
      <c r="B6">
        <v>118283.95999999996</v>
      </c>
      <c r="F6" s="7" t="s">
        <v>25</v>
      </c>
      <c r="G6">
        <v>32</v>
      </c>
      <c r="H6">
        <v>1392950</v>
      </c>
      <c r="J6" s="7" t="s">
        <v>41</v>
      </c>
      <c r="K6">
        <v>2084250</v>
      </c>
      <c r="L6">
        <v>94</v>
      </c>
      <c r="N6" s="7" t="s">
        <v>41</v>
      </c>
      <c r="O6">
        <v>94</v>
      </c>
      <c r="P6">
        <v>2084250</v>
      </c>
    </row>
    <row r="7" spans="1:16" x14ac:dyDescent="0.25">
      <c r="A7" s="7" t="s">
        <v>78</v>
      </c>
      <c r="B7">
        <v>12082.95</v>
      </c>
      <c r="F7" s="7" t="s">
        <v>14</v>
      </c>
      <c r="G7">
        <v>34</v>
      </c>
      <c r="H7">
        <v>1268750</v>
      </c>
      <c r="J7" s="7" t="s">
        <v>29</v>
      </c>
      <c r="K7">
        <v>1097600</v>
      </c>
      <c r="L7">
        <v>87</v>
      </c>
      <c r="N7" s="7" t="s">
        <v>29</v>
      </c>
      <c r="O7">
        <v>87</v>
      </c>
      <c r="P7">
        <v>1097600</v>
      </c>
    </row>
    <row r="8" spans="1:16" x14ac:dyDescent="0.25">
      <c r="A8" s="7" t="s">
        <v>984</v>
      </c>
      <c r="B8">
        <v>573456.04</v>
      </c>
      <c r="F8" s="7" t="s">
        <v>32</v>
      </c>
      <c r="G8">
        <v>33</v>
      </c>
      <c r="H8">
        <v>1100150</v>
      </c>
      <c r="J8" s="7" t="s">
        <v>16</v>
      </c>
      <c r="K8">
        <v>734750</v>
      </c>
      <c r="L8">
        <v>86</v>
      </c>
      <c r="N8" s="7" t="s">
        <v>16</v>
      </c>
      <c r="O8">
        <v>86</v>
      </c>
      <c r="P8">
        <v>734750</v>
      </c>
    </row>
    <row r="9" spans="1:16" x14ac:dyDescent="0.25">
      <c r="F9" s="7" t="s">
        <v>38</v>
      </c>
      <c r="G9">
        <v>23</v>
      </c>
      <c r="H9">
        <v>862350</v>
      </c>
      <c r="J9" s="7" t="s">
        <v>984</v>
      </c>
      <c r="K9">
        <v>18179600</v>
      </c>
      <c r="L9">
        <v>450</v>
      </c>
      <c r="N9" s="7" t="s">
        <v>984</v>
      </c>
      <c r="O9">
        <v>450</v>
      </c>
      <c r="P9">
        <v>18179600</v>
      </c>
    </row>
    <row r="10" spans="1:16" x14ac:dyDescent="0.25">
      <c r="F10" s="7" t="s">
        <v>28</v>
      </c>
      <c r="G10">
        <v>20</v>
      </c>
      <c r="H10">
        <v>578500</v>
      </c>
    </row>
    <row r="11" spans="1:16" x14ac:dyDescent="0.25">
      <c r="A11" s="9"/>
      <c r="F11" s="7" t="s">
        <v>78</v>
      </c>
      <c r="G11">
        <v>4</v>
      </c>
      <c r="H11">
        <v>218750</v>
      </c>
    </row>
    <row r="12" spans="1:16" x14ac:dyDescent="0.25">
      <c r="F12" s="7" t="s">
        <v>984</v>
      </c>
      <c r="G12">
        <v>243</v>
      </c>
      <c r="H12">
        <v>9541950</v>
      </c>
    </row>
    <row r="17" spans="1:6" x14ac:dyDescent="0.25">
      <c r="A17" s="6" t="s">
        <v>997</v>
      </c>
      <c r="B17" t="s">
        <v>998</v>
      </c>
    </row>
    <row r="18" spans="1:6" x14ac:dyDescent="0.25">
      <c r="A18" s="7" t="s">
        <v>17</v>
      </c>
      <c r="B18" s="8">
        <v>0.54</v>
      </c>
    </row>
    <row r="19" spans="1:6" x14ac:dyDescent="0.25">
      <c r="A19" s="7" t="s">
        <v>33</v>
      </c>
      <c r="B19" s="8">
        <v>0.46</v>
      </c>
    </row>
    <row r="20" spans="1:6" x14ac:dyDescent="0.25">
      <c r="A20" s="7" t="s">
        <v>984</v>
      </c>
      <c r="B20" s="8">
        <v>1</v>
      </c>
    </row>
    <row r="25" spans="1:6" x14ac:dyDescent="0.25">
      <c r="A25" t="s">
        <v>999</v>
      </c>
      <c r="B25" t="s">
        <v>995</v>
      </c>
      <c r="C25" t="s">
        <v>996</v>
      </c>
      <c r="D25" t="s">
        <v>988</v>
      </c>
      <c r="E25" t="s">
        <v>994</v>
      </c>
      <c r="F25" t="s">
        <v>992</v>
      </c>
    </row>
    <row r="26" spans="1:6" x14ac:dyDescent="0.25">
      <c r="A26">
        <v>450</v>
      </c>
      <c r="B26">
        <v>760</v>
      </c>
      <c r="C26">
        <v>573456.04000000039</v>
      </c>
      <c r="D26">
        <v>18179600</v>
      </c>
      <c r="E26" s="4">
        <v>40399.111111111109</v>
      </c>
      <c r="F26">
        <v>31.701819724490107</v>
      </c>
    </row>
    <row r="31" spans="1:6" x14ac:dyDescent="0.25">
      <c r="A31" s="11" t="s">
        <v>1000</v>
      </c>
      <c r="B31" s="11"/>
      <c r="C31" s="11"/>
      <c r="D31" s="11"/>
      <c r="E31" s="11"/>
      <c r="F31" s="11"/>
    </row>
    <row r="32" spans="1:6" x14ac:dyDescent="0.25">
      <c r="A32" s="11" t="s">
        <v>1001</v>
      </c>
      <c r="B32" s="11" t="s">
        <v>1002</v>
      </c>
      <c r="C32" s="11" t="s">
        <v>1003</v>
      </c>
      <c r="D32" s="11" t="s">
        <v>9</v>
      </c>
      <c r="E32" s="11" t="s">
        <v>1004</v>
      </c>
      <c r="F32" s="11" t="s">
        <v>1005</v>
      </c>
    </row>
    <row r="33" spans="1:7" x14ac:dyDescent="0.25">
      <c r="A33" s="11" t="str">
        <f>TEXT(A26,"#,##")</f>
        <v>450</v>
      </c>
      <c r="B33" s="11" t="str">
        <f t="shared" ref="B33" si="0">TEXT(B26,"#,##")</f>
        <v>760</v>
      </c>
      <c r="C33" s="11" t="str">
        <f>TEXT(C26,"₦#,##0")</f>
        <v>₦573,456</v>
      </c>
      <c r="D33" s="11" t="str">
        <f>TEXT(D26,"₦#,##0")</f>
        <v>₦18,179,600</v>
      </c>
      <c r="E33" s="11" t="str">
        <f>TEXT(E26,"₦#,##0")</f>
        <v>₦40,399</v>
      </c>
      <c r="F33" s="11" t="str">
        <f>TEXT(F26,"#,##0.00")&amp;"x"</f>
        <v>31.70x</v>
      </c>
    </row>
    <row r="34" spans="1:7" x14ac:dyDescent="0.25">
      <c r="A34" s="10"/>
      <c r="B34" s="10"/>
      <c r="C34" s="10"/>
      <c r="D34" s="10"/>
      <c r="E34" s="10"/>
      <c r="F34" s="10"/>
    </row>
    <row r="42" spans="1:7" x14ac:dyDescent="0.25">
      <c r="D42" s="6" t="s">
        <v>987</v>
      </c>
      <c r="E42" s="6" t="s">
        <v>1017</v>
      </c>
    </row>
    <row r="43" spans="1:7" x14ac:dyDescent="0.25">
      <c r="D43" s="6" t="s">
        <v>1018</v>
      </c>
      <c r="E43" t="s">
        <v>1006</v>
      </c>
      <c r="F43" t="s">
        <v>1007</v>
      </c>
      <c r="G43" t="s">
        <v>984</v>
      </c>
    </row>
    <row r="44" spans="1:7" x14ac:dyDescent="0.25">
      <c r="D44" s="7" t="s">
        <v>1008</v>
      </c>
      <c r="E44">
        <v>1010450</v>
      </c>
      <c r="F44">
        <v>1429500</v>
      </c>
      <c r="G44">
        <v>2439950</v>
      </c>
    </row>
    <row r="45" spans="1:7" x14ac:dyDescent="0.25">
      <c r="D45" s="7" t="s">
        <v>1009</v>
      </c>
      <c r="E45">
        <v>1408450</v>
      </c>
      <c r="F45">
        <v>2202400</v>
      </c>
      <c r="G45">
        <v>3610850</v>
      </c>
    </row>
    <row r="46" spans="1:7" x14ac:dyDescent="0.25">
      <c r="A46" s="6" t="s">
        <v>2</v>
      </c>
      <c r="B46" t="s">
        <v>987</v>
      </c>
      <c r="D46" s="7" t="s">
        <v>1010</v>
      </c>
      <c r="E46">
        <v>2367800</v>
      </c>
      <c r="F46">
        <v>3212650</v>
      </c>
      <c r="G46">
        <v>5580450</v>
      </c>
    </row>
    <row r="47" spans="1:7" x14ac:dyDescent="0.25">
      <c r="A47" s="7" t="s">
        <v>13</v>
      </c>
      <c r="B47">
        <v>6171750</v>
      </c>
      <c r="D47" s="7" t="s">
        <v>1011</v>
      </c>
      <c r="E47">
        <v>3347300</v>
      </c>
      <c r="F47">
        <v>3959750</v>
      </c>
      <c r="G47">
        <v>7307050</v>
      </c>
    </row>
    <row r="48" spans="1:7" x14ac:dyDescent="0.25">
      <c r="A48" s="7" t="s">
        <v>19</v>
      </c>
      <c r="B48">
        <v>4117200</v>
      </c>
      <c r="D48" s="7" t="s">
        <v>1012</v>
      </c>
      <c r="E48">
        <v>4482300</v>
      </c>
      <c r="F48">
        <v>5159800</v>
      </c>
      <c r="G48">
        <v>9642100</v>
      </c>
    </row>
    <row r="49" spans="1:7" x14ac:dyDescent="0.25">
      <c r="A49" s="7" t="s">
        <v>24</v>
      </c>
      <c r="B49">
        <v>3650750</v>
      </c>
      <c r="D49" s="7" t="s">
        <v>1013</v>
      </c>
      <c r="E49">
        <v>5353350</v>
      </c>
      <c r="F49">
        <v>6012050</v>
      </c>
      <c r="G49">
        <v>11365400</v>
      </c>
    </row>
    <row r="50" spans="1:7" x14ac:dyDescent="0.25">
      <c r="A50" s="7" t="s">
        <v>31</v>
      </c>
      <c r="B50">
        <v>2073200</v>
      </c>
      <c r="D50" s="7" t="s">
        <v>1014</v>
      </c>
      <c r="E50">
        <v>6384750</v>
      </c>
      <c r="F50">
        <v>6399300</v>
      </c>
      <c r="G50">
        <v>12784050</v>
      </c>
    </row>
    <row r="51" spans="1:7" x14ac:dyDescent="0.25">
      <c r="A51" s="7" t="s">
        <v>65</v>
      </c>
      <c r="B51">
        <v>1852150</v>
      </c>
      <c r="D51" s="7" t="s">
        <v>1015</v>
      </c>
      <c r="E51">
        <v>7391200</v>
      </c>
      <c r="F51">
        <v>7521600</v>
      </c>
      <c r="G51">
        <v>14912800</v>
      </c>
    </row>
    <row r="52" spans="1:7" x14ac:dyDescent="0.25">
      <c r="A52" s="7" t="s">
        <v>63</v>
      </c>
      <c r="B52">
        <v>314550</v>
      </c>
    </row>
    <row r="53" spans="1:7" x14ac:dyDescent="0.25">
      <c r="A53" s="7" t="s">
        <v>984</v>
      </c>
      <c r="B53">
        <v>18179600</v>
      </c>
    </row>
    <row r="448" spans="1:2" x14ac:dyDescent="0.25">
      <c r="A448" t="s">
        <v>488</v>
      </c>
      <c r="B448">
        <f>COUNTIF($A:$A,A448)</f>
        <v>1</v>
      </c>
    </row>
    <row r="449" spans="1:2" x14ac:dyDescent="0.25">
      <c r="A449" t="s">
        <v>489</v>
      </c>
      <c r="B449">
        <f>COUNTIF($A:$A,A449)</f>
        <v>1</v>
      </c>
    </row>
    <row r="450" spans="1:2" x14ac:dyDescent="0.25">
      <c r="A450" t="s">
        <v>490</v>
      </c>
      <c r="B450">
        <f>COUNTIF($A:$A,A450)</f>
        <v>1</v>
      </c>
    </row>
    <row r="451" spans="1:2" x14ac:dyDescent="0.25">
      <c r="A451" t="s">
        <v>491</v>
      </c>
      <c r="B451">
        <f>COUNTIF($A:$A,A451)</f>
        <v>1</v>
      </c>
    </row>
    <row r="452" spans="1:2" x14ac:dyDescent="0.25">
      <c r="A452" t="s">
        <v>492</v>
      </c>
      <c r="B452">
        <f>COUNTIF($A:$A,A452)</f>
        <v>1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1197B-2C51-40F5-B6A0-536101431890}">
  <dimension ref="A1"/>
  <sheetViews>
    <sheetView showGridLines="0" topLeftCell="A6" zoomScale="85" zoomScaleNormal="85" workbookViewId="0">
      <selection activeCell="U72" sqref="U72"/>
    </sheetView>
  </sheetViews>
  <sheetFormatPr defaultRowHeight="15" x14ac:dyDescent="0.25"/>
  <cols>
    <col min="24" max="24" width="8.855468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sales data</vt:lpstr>
      <vt:lpstr>Cleaned 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Love Faves</cp:lastModifiedBy>
  <dcterms:created xsi:type="dcterms:W3CDTF">2026-09-03T09:05:24Z</dcterms:created>
  <dcterms:modified xsi:type="dcterms:W3CDTF">2026-10-09T07:06:29Z</dcterms:modified>
</cp:coreProperties>
</file>